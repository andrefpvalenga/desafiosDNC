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5949DF8A-A509-456E-989A-9F6E149FD103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Entrada" sheetId="1" r:id="rId1"/>
    <sheet name="Saida" sheetId="2" r:id="rId2"/>
    <sheet name="Cadastro" sheetId="3" r:id="rId3"/>
    <sheet name="Resumo Estoque" sheetId="4" r:id="rId4"/>
    <sheet name="Dinâmica" sheetId="5" r:id="rId5"/>
    <sheet name="Dashboard" sheetId="6" r:id="rId6"/>
  </sheets>
  <definedNames>
    <definedName name="_xlnm._FilterDatabase" localSheetId="0" hidden="1">Entrada!$A$1:$Z$501</definedName>
  </definedNames>
  <calcPr calcId="191029"/>
  <pivotCaches>
    <pivotCache cacheId="19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1" i="4" l="1"/>
  <c r="D121" i="4"/>
  <c r="E120" i="4"/>
  <c r="D120" i="4"/>
  <c r="E119" i="4"/>
  <c r="D119" i="4"/>
  <c r="E118" i="4"/>
  <c r="D118" i="4"/>
  <c r="E117" i="4"/>
  <c r="D117" i="4"/>
  <c r="E116" i="4"/>
  <c r="D116" i="4"/>
  <c r="E115" i="4"/>
  <c r="D115" i="4"/>
  <c r="E114" i="4"/>
  <c r="D114" i="4"/>
  <c r="E113" i="4"/>
  <c r="D113" i="4"/>
  <c r="E112" i="4"/>
  <c r="D112" i="4"/>
  <c r="E111" i="4"/>
  <c r="D111" i="4"/>
  <c r="E110" i="4"/>
  <c r="D110" i="4"/>
  <c r="E109" i="4"/>
  <c r="D109" i="4"/>
  <c r="E108" i="4"/>
  <c r="D108" i="4"/>
  <c r="E107" i="4"/>
  <c r="D107" i="4"/>
  <c r="E106" i="4"/>
  <c r="D106" i="4"/>
  <c r="E105" i="4"/>
  <c r="D105" i="4"/>
  <c r="E104" i="4"/>
  <c r="D104" i="4"/>
  <c r="E103" i="4"/>
  <c r="D103" i="4"/>
  <c r="E102" i="4"/>
  <c r="D102" i="4"/>
  <c r="E101" i="4"/>
  <c r="D101" i="4"/>
  <c r="E100" i="4"/>
  <c r="D100" i="4"/>
  <c r="E99" i="4"/>
  <c r="D99" i="4"/>
  <c r="E98" i="4"/>
  <c r="D98" i="4"/>
  <c r="E97" i="4"/>
  <c r="D97" i="4"/>
  <c r="E96" i="4"/>
  <c r="D96" i="4"/>
  <c r="E95" i="4"/>
  <c r="D95" i="4"/>
  <c r="E94" i="4"/>
  <c r="D94" i="4"/>
  <c r="E93" i="4"/>
  <c r="D93" i="4"/>
  <c r="E92" i="4"/>
  <c r="D92" i="4"/>
  <c r="E91" i="4"/>
  <c r="D91" i="4"/>
  <c r="E90" i="4"/>
  <c r="D90" i="4"/>
  <c r="E89" i="4"/>
  <c r="D89" i="4"/>
  <c r="E88" i="4"/>
  <c r="D88" i="4"/>
  <c r="E87" i="4"/>
  <c r="D87" i="4"/>
  <c r="E86" i="4"/>
  <c r="D86" i="4"/>
  <c r="E85" i="4"/>
  <c r="D85" i="4"/>
  <c r="E84" i="4"/>
  <c r="D84" i="4"/>
  <c r="E83" i="4"/>
  <c r="D83" i="4"/>
  <c r="E82" i="4"/>
  <c r="D82" i="4"/>
  <c r="E81" i="4"/>
  <c r="D81" i="4"/>
  <c r="E80" i="4"/>
  <c r="D80" i="4"/>
  <c r="E79" i="4"/>
  <c r="D79" i="4"/>
  <c r="E78" i="4"/>
  <c r="D78" i="4"/>
  <c r="E77" i="4"/>
  <c r="D77" i="4"/>
  <c r="E76" i="4"/>
  <c r="D76" i="4"/>
  <c r="E75" i="4"/>
  <c r="D75" i="4"/>
  <c r="E74" i="4"/>
  <c r="D74" i="4"/>
  <c r="E73" i="4"/>
  <c r="D73" i="4"/>
  <c r="E72" i="4"/>
  <c r="D72" i="4"/>
  <c r="E71" i="4"/>
  <c r="D71" i="4"/>
  <c r="E70" i="4"/>
  <c r="D70" i="4"/>
  <c r="E69" i="4"/>
  <c r="D69" i="4"/>
  <c r="E68" i="4"/>
  <c r="D68" i="4"/>
  <c r="E67" i="4"/>
  <c r="D67" i="4"/>
  <c r="E66" i="4"/>
  <c r="D66" i="4"/>
  <c r="E65" i="4"/>
  <c r="D65" i="4"/>
  <c r="E64" i="4"/>
  <c r="D64" i="4"/>
  <c r="E63" i="4"/>
  <c r="D63" i="4"/>
  <c r="E62" i="4"/>
  <c r="D62" i="4"/>
  <c r="E61" i="4"/>
  <c r="D61" i="4"/>
  <c r="E60" i="4"/>
  <c r="D60" i="4"/>
  <c r="E59" i="4"/>
  <c r="D59" i="4"/>
  <c r="E58" i="4"/>
  <c r="D58" i="4"/>
  <c r="E57" i="4"/>
  <c r="D57" i="4"/>
  <c r="E56" i="4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F2" i="4" l="1"/>
  <c r="H2" i="4" s="1" a="1"/>
  <c r="H2" i="4" s="1"/>
  <c r="F6" i="4"/>
  <c r="F10" i="4"/>
  <c r="H10" i="4" s="1" a="1"/>
  <c r="H10" i="4" s="1"/>
  <c r="F14" i="4"/>
  <c r="F18" i="4"/>
  <c r="H18" i="4" s="1" a="1"/>
  <c r="H18" i="4" s="1"/>
  <c r="F22" i="4"/>
  <c r="G22" i="4" s="1"/>
  <c r="F26" i="4"/>
  <c r="H26" i="4" s="1" a="1"/>
  <c r="H26" i="4" s="1"/>
  <c r="F30" i="4"/>
  <c r="G30" i="4" s="1"/>
  <c r="F34" i="4"/>
  <c r="G34" i="4" s="1"/>
  <c r="F38" i="4"/>
  <c r="G38" i="4" s="1"/>
  <c r="F42" i="4"/>
  <c r="H42" i="4" s="1" a="1"/>
  <c r="H42" i="4" s="1"/>
  <c r="F46" i="4"/>
  <c r="G46" i="4" s="1"/>
  <c r="F50" i="4"/>
  <c r="H50" i="4" s="1" a="1"/>
  <c r="H50" i="4" s="1"/>
  <c r="F54" i="4"/>
  <c r="G54" i="4" s="1"/>
  <c r="F58" i="4"/>
  <c r="H58" i="4" s="1" a="1"/>
  <c r="H58" i="4" s="1"/>
  <c r="F62" i="4"/>
  <c r="G62" i="4" s="1"/>
  <c r="F66" i="4"/>
  <c r="F70" i="4"/>
  <c r="F74" i="4"/>
  <c r="H74" i="4" s="1" a="1"/>
  <c r="H74" i="4" s="1"/>
  <c r="F78" i="4"/>
  <c r="G78" i="4" s="1"/>
  <c r="F82" i="4"/>
  <c r="H82" i="4" s="1" a="1"/>
  <c r="H82" i="4" s="1"/>
  <c r="F86" i="4"/>
  <c r="G86" i="4" s="1"/>
  <c r="F90" i="4"/>
  <c r="F94" i="4"/>
  <c r="G94" i="4" s="1"/>
  <c r="F98" i="4"/>
  <c r="F102" i="4"/>
  <c r="G102" i="4" s="1"/>
  <c r="F106" i="4"/>
  <c r="F110" i="4"/>
  <c r="G110" i="4" s="1"/>
  <c r="F114" i="4"/>
  <c r="F118" i="4"/>
  <c r="G118" i="4" s="1"/>
  <c r="F3" i="4"/>
  <c r="H3" i="4" s="1" a="1"/>
  <c r="H3" i="4" s="1"/>
  <c r="F7" i="4"/>
  <c r="G7" i="4" s="1"/>
  <c r="F11" i="4"/>
  <c r="H11" i="4" s="1" a="1"/>
  <c r="H11" i="4" s="1"/>
  <c r="F15" i="4"/>
  <c r="G15" i="4" s="1"/>
  <c r="F19" i="4"/>
  <c r="H19" i="4" s="1" a="1"/>
  <c r="H19" i="4" s="1"/>
  <c r="F23" i="4"/>
  <c r="F27" i="4"/>
  <c r="F31" i="4"/>
  <c r="G31" i="4" s="1"/>
  <c r="F35" i="4"/>
  <c r="H35" i="4" s="1" a="1"/>
  <c r="H35" i="4" s="1"/>
  <c r="F39" i="4"/>
  <c r="H39" i="4" s="1" a="1"/>
  <c r="H39" i="4" s="1"/>
  <c r="F43" i="4"/>
  <c r="H43" i="4" s="1" a="1"/>
  <c r="H43" i="4" s="1"/>
  <c r="F47" i="4"/>
  <c r="F51" i="4"/>
  <c r="H51" i="4" s="1" a="1"/>
  <c r="H51" i="4" s="1"/>
  <c r="F55" i="4"/>
  <c r="F59" i="4"/>
  <c r="G59" i="4" s="1"/>
  <c r="F63" i="4"/>
  <c r="G63" i="4" s="1"/>
  <c r="F67" i="4"/>
  <c r="F71" i="4"/>
  <c r="G71" i="4" s="1"/>
  <c r="F75" i="4"/>
  <c r="F79" i="4"/>
  <c r="F83" i="4"/>
  <c r="F87" i="4"/>
  <c r="F91" i="4"/>
  <c r="G91" i="4" s="1"/>
  <c r="F95" i="4"/>
  <c r="H95" i="4" s="1" a="1"/>
  <c r="H95" i="4" s="1"/>
  <c r="F99" i="4"/>
  <c r="F103" i="4"/>
  <c r="G103" i="4" s="1"/>
  <c r="F107" i="4"/>
  <c r="F111" i="4"/>
  <c r="F115" i="4"/>
  <c r="F119" i="4"/>
  <c r="H119" i="4" s="1" a="1"/>
  <c r="H119" i="4" s="1"/>
  <c r="F4" i="4"/>
  <c r="F8" i="4"/>
  <c r="H8" i="4" s="1" a="1"/>
  <c r="H8" i="4" s="1"/>
  <c r="F12" i="4"/>
  <c r="H12" i="4" s="1" a="1"/>
  <c r="H12" i="4" s="1"/>
  <c r="F16" i="4"/>
  <c r="H16" i="4" s="1" a="1"/>
  <c r="H16" i="4" s="1"/>
  <c r="F20" i="4"/>
  <c r="F24" i="4"/>
  <c r="H24" i="4" s="1" a="1"/>
  <c r="H24" i="4" s="1"/>
  <c r="F28" i="4"/>
  <c r="F32" i="4"/>
  <c r="G32" i="4" s="1"/>
  <c r="F36" i="4"/>
  <c r="F40" i="4"/>
  <c r="G40" i="4" s="1"/>
  <c r="F44" i="4"/>
  <c r="F48" i="4"/>
  <c r="H48" i="4" s="1" a="1"/>
  <c r="H48" i="4" s="1"/>
  <c r="F52" i="4"/>
  <c r="F56" i="4"/>
  <c r="F60" i="4"/>
  <c r="H60" i="4" s="1" a="1"/>
  <c r="H60" i="4" s="1"/>
  <c r="F64" i="4"/>
  <c r="F68" i="4"/>
  <c r="H68" i="4" s="1" a="1"/>
  <c r="H68" i="4" s="1"/>
  <c r="F72" i="4"/>
  <c r="G72" i="4" s="1"/>
  <c r="F76" i="4"/>
  <c r="F80" i="4"/>
  <c r="H80" i="4" s="1" a="1"/>
  <c r="H80" i="4" s="1"/>
  <c r="F84" i="4"/>
  <c r="F88" i="4"/>
  <c r="H88" i="4" s="1" a="1"/>
  <c r="H88" i="4" s="1"/>
  <c r="F92" i="4"/>
  <c r="F96" i="4"/>
  <c r="G96" i="4" s="1"/>
  <c r="F100" i="4"/>
  <c r="H100" i="4" s="1" a="1"/>
  <c r="H100" i="4" s="1"/>
  <c r="F104" i="4"/>
  <c r="G104" i="4" s="1"/>
  <c r="F108" i="4"/>
  <c r="H108" i="4" s="1" a="1"/>
  <c r="H108" i="4" s="1"/>
  <c r="F112" i="4"/>
  <c r="H112" i="4" s="1" a="1"/>
  <c r="H112" i="4" s="1"/>
  <c r="F116" i="4"/>
  <c r="H116" i="4" s="1" a="1"/>
  <c r="H116" i="4" s="1"/>
  <c r="F120" i="4"/>
  <c r="H120" i="4" s="1" a="1"/>
  <c r="H120" i="4" s="1"/>
  <c r="F5" i="4"/>
  <c r="H5" i="4" s="1" a="1"/>
  <c r="H5" i="4" s="1"/>
  <c r="F9" i="4"/>
  <c r="G9" i="4" s="1"/>
  <c r="F13" i="4"/>
  <c r="H13" i="4" s="1" a="1"/>
  <c r="H13" i="4" s="1"/>
  <c r="F17" i="4"/>
  <c r="H17" i="4" s="1" a="1"/>
  <c r="H17" i="4" s="1"/>
  <c r="F21" i="4"/>
  <c r="H21" i="4" s="1" a="1"/>
  <c r="H21" i="4" s="1"/>
  <c r="F29" i="4"/>
  <c r="H29" i="4" s="1" a="1"/>
  <c r="H29" i="4" s="1"/>
  <c r="F33" i="4"/>
  <c r="G33" i="4" s="1"/>
  <c r="F37" i="4"/>
  <c r="H37" i="4" s="1" a="1"/>
  <c r="H37" i="4" s="1"/>
  <c r="F41" i="4"/>
  <c r="G41" i="4" s="1"/>
  <c r="F45" i="4"/>
  <c r="H45" i="4" s="1" a="1"/>
  <c r="H45" i="4" s="1"/>
  <c r="F49" i="4"/>
  <c r="H49" i="4" s="1" a="1"/>
  <c r="H49" i="4" s="1"/>
  <c r="F53" i="4"/>
  <c r="G53" i="4" s="1"/>
  <c r="F57" i="4"/>
  <c r="H57" i="4" s="1" a="1"/>
  <c r="H57" i="4" s="1"/>
  <c r="F61" i="4"/>
  <c r="H61" i="4" s="1" a="1"/>
  <c r="H61" i="4" s="1"/>
  <c r="F65" i="4"/>
  <c r="G65" i="4" s="1"/>
  <c r="F69" i="4"/>
  <c r="H69" i="4" s="1" a="1"/>
  <c r="H69" i="4" s="1"/>
  <c r="F73" i="4"/>
  <c r="G73" i="4" s="1"/>
  <c r="F77" i="4"/>
  <c r="H77" i="4" s="1" a="1"/>
  <c r="H77" i="4" s="1"/>
  <c r="F81" i="4"/>
  <c r="H81" i="4" s="1" a="1"/>
  <c r="H81" i="4" s="1"/>
  <c r="F85" i="4"/>
  <c r="H85" i="4" s="1" a="1"/>
  <c r="H85" i="4" s="1"/>
  <c r="F89" i="4"/>
  <c r="H89" i="4" s="1" a="1"/>
  <c r="H89" i="4" s="1"/>
  <c r="F93" i="4"/>
  <c r="H93" i="4" s="1" a="1"/>
  <c r="H93" i="4" s="1"/>
  <c r="F97" i="4"/>
  <c r="G97" i="4" s="1"/>
  <c r="F101" i="4"/>
  <c r="H101" i="4" s="1" a="1"/>
  <c r="H101" i="4" s="1"/>
  <c r="F105" i="4"/>
  <c r="G105" i="4" s="1"/>
  <c r="F109" i="4"/>
  <c r="H109" i="4" s="1" a="1"/>
  <c r="H109" i="4" s="1"/>
  <c r="F113" i="4"/>
  <c r="H113" i="4" s="1" a="1"/>
  <c r="H113" i="4" s="1"/>
  <c r="F117" i="4"/>
  <c r="H117" i="4" s="1" a="1"/>
  <c r="H117" i="4" s="1"/>
  <c r="F121" i="4"/>
  <c r="H121" i="4" s="1" a="1"/>
  <c r="H121" i="4" s="1"/>
  <c r="G120" i="4"/>
  <c r="G79" i="4"/>
  <c r="H79" i="4" a="1"/>
  <c r="H79" i="4" s="1"/>
  <c r="G77" i="4"/>
  <c r="G116" i="4"/>
  <c r="G69" i="4"/>
  <c r="H73" i="4" a="1"/>
  <c r="H73" i="4" s="1"/>
  <c r="G108" i="4"/>
  <c r="G21" i="4"/>
  <c r="G13" i="4"/>
  <c r="H41" i="4" a="1"/>
  <c r="H41" i="4" s="1"/>
  <c r="G100" i="4"/>
  <c r="G5" i="4"/>
  <c r="H15" i="4" a="1"/>
  <c r="H15" i="4" s="1"/>
  <c r="G8" i="4"/>
  <c r="H107" i="4" a="1"/>
  <c r="H107" i="4" s="1"/>
  <c r="G107" i="4"/>
  <c r="H36" i="4" a="1"/>
  <c r="H36" i="4" s="1"/>
  <c r="G36" i="4"/>
  <c r="G47" i="4"/>
  <c r="H47" i="4" a="1"/>
  <c r="H47" i="4" s="1"/>
  <c r="H23" i="4" a="1"/>
  <c r="H23" i="4" s="1"/>
  <c r="G23" i="4"/>
  <c r="G6" i="4"/>
  <c r="H6" i="4" a="1"/>
  <c r="H6" i="4" s="1"/>
  <c r="G27" i="4"/>
  <c r="H27" i="4" a="1"/>
  <c r="H27" i="4" s="1"/>
  <c r="H44" i="4" a="1"/>
  <c r="H44" i="4" s="1"/>
  <c r="G44" i="4"/>
  <c r="H76" i="4" a="1"/>
  <c r="H76" i="4" s="1"/>
  <c r="G76" i="4"/>
  <c r="H83" i="4" a="1"/>
  <c r="H83" i="4" s="1"/>
  <c r="G83" i="4"/>
  <c r="H87" i="4" a="1"/>
  <c r="H87" i="4" s="1"/>
  <c r="G87" i="4"/>
  <c r="H92" i="4" a="1"/>
  <c r="H92" i="4" s="1"/>
  <c r="G92" i="4"/>
  <c r="G111" i="4"/>
  <c r="H111" i="4" a="1"/>
  <c r="H111" i="4" s="1"/>
  <c r="H20" i="4" a="1"/>
  <c r="H20" i="4" s="1"/>
  <c r="G20" i="4"/>
  <c r="H55" i="4" a="1"/>
  <c r="H55" i="4" s="1"/>
  <c r="G55" i="4"/>
  <c r="G66" i="4"/>
  <c r="H66" i="4" a="1"/>
  <c r="H66" i="4" s="1"/>
  <c r="G98" i="4"/>
  <c r="H98" i="4" a="1"/>
  <c r="H98" i="4" s="1"/>
  <c r="G64" i="4"/>
  <c r="H64" i="4" a="1"/>
  <c r="H64" i="4" s="1"/>
  <c r="H115" i="4" a="1"/>
  <c r="H115" i="4" s="1"/>
  <c r="G115" i="4"/>
  <c r="H52" i="4" a="1"/>
  <c r="H52" i="4" s="1"/>
  <c r="G52" i="4"/>
  <c r="G70" i="4"/>
  <c r="H70" i="4" a="1"/>
  <c r="H70" i="4" s="1"/>
  <c r="H84" i="4" a="1"/>
  <c r="H84" i="4" s="1"/>
  <c r="G84" i="4"/>
  <c r="H4" i="4" a="1"/>
  <c r="H4" i="4" s="1"/>
  <c r="G4" i="4"/>
  <c r="H114" i="4" a="1"/>
  <c r="H114" i="4" s="1"/>
  <c r="G114" i="4"/>
  <c r="H75" i="4" a="1"/>
  <c r="H75" i="4" s="1"/>
  <c r="G75" i="4"/>
  <c r="H90" i="4" a="1"/>
  <c r="H90" i="4" s="1"/>
  <c r="G90" i="4"/>
  <c r="G14" i="4"/>
  <c r="H14" i="4" a="1"/>
  <c r="H14" i="4" s="1"/>
  <c r="H28" i="4" a="1"/>
  <c r="H28" i="4" s="1"/>
  <c r="G28" i="4"/>
  <c r="H56" i="4" a="1"/>
  <c r="H56" i="4" s="1"/>
  <c r="G56" i="4"/>
  <c r="H67" i="4" a="1"/>
  <c r="H67" i="4" s="1"/>
  <c r="G67" i="4"/>
  <c r="H99" i="4" a="1"/>
  <c r="H99" i="4" s="1"/>
  <c r="G99" i="4"/>
  <c r="H106" i="4" a="1"/>
  <c r="H106" i="4" s="1"/>
  <c r="G106" i="4"/>
  <c r="G45" i="4"/>
  <c r="G68" i="4"/>
  <c r="G60" i="4"/>
  <c r="G12" i="4"/>
  <c r="H91" i="4" a="1"/>
  <c r="H91" i="4" s="1"/>
  <c r="H59" i="4" a="1"/>
  <c r="H59" i="4" s="1"/>
  <c r="H34" i="4" a="1"/>
  <c r="H34" i="4" s="1"/>
  <c r="G51" i="4"/>
  <c r="G43" i="4"/>
  <c r="G35" i="4"/>
  <c r="G19" i="4"/>
  <c r="G11" i="4"/>
  <c r="G3" i="4"/>
  <c r="H110" i="4" a="1"/>
  <c r="H110" i="4" s="1"/>
  <c r="H103" i="4" a="1"/>
  <c r="H103" i="4" s="1"/>
  <c r="H97" i="4" a="1"/>
  <c r="H97" i="4" s="1"/>
  <c r="H78" i="4" a="1"/>
  <c r="H78" i="4" s="1"/>
  <c r="H65" i="4" a="1"/>
  <c r="H65" i="4" s="1"/>
  <c r="H46" i="4" a="1"/>
  <c r="H46" i="4" s="1"/>
  <c r="H33" i="4" a="1"/>
  <c r="H33" i="4" s="1"/>
  <c r="G37" i="4"/>
  <c r="H9" i="4" a="1"/>
  <c r="H9" i="4" s="1"/>
  <c r="G2" i="4"/>
  <c r="G82" i="4"/>
  <c r="G74" i="4"/>
  <c r="G58" i="4"/>
  <c r="G50" i="4"/>
  <c r="G42" i="4"/>
  <c r="G26" i="4"/>
  <c r="G18" i="4"/>
  <c r="G10" i="4"/>
  <c r="H96" i="4" a="1"/>
  <c r="H96" i="4" s="1"/>
  <c r="H32" i="4" a="1"/>
  <c r="H32" i="4" s="1"/>
  <c r="G121" i="4"/>
  <c r="G113" i="4"/>
  <c r="G89" i="4"/>
  <c r="G81" i="4"/>
  <c r="G57" i="4"/>
  <c r="G49" i="4"/>
  <c r="H102" i="4" a="1"/>
  <c r="H102" i="4" s="1"/>
  <c r="H38" i="4" a="1"/>
  <c r="H38" i="4" s="1"/>
  <c r="G88" i="4"/>
  <c r="G24" i="4"/>
  <c r="G119" i="4"/>
  <c r="H94" i="4" a="1"/>
  <c r="H94" i="4" s="1"/>
  <c r="H30" i="4" a="1"/>
  <c r="H30" i="4" s="1"/>
  <c r="F25" i="4"/>
  <c r="G17" i="4" l="1"/>
  <c r="G39" i="4"/>
  <c r="H53" i="4" a="1"/>
  <c r="H53" i="4" s="1"/>
  <c r="G95" i="4"/>
  <c r="G16" i="4"/>
  <c r="H7" i="4" a="1"/>
  <c r="H7" i="4" s="1"/>
  <c r="H40" i="4" a="1"/>
  <c r="H40" i="4" s="1"/>
  <c r="G101" i="4"/>
  <c r="H105" i="4" a="1"/>
  <c r="H105" i="4" s="1"/>
  <c r="G48" i="4"/>
  <c r="H63" i="4" a="1"/>
  <c r="H63" i="4" s="1"/>
  <c r="G93" i="4"/>
  <c r="G117" i="4"/>
  <c r="G80" i="4"/>
  <c r="H72" i="4" a="1"/>
  <c r="H72" i="4" s="1"/>
  <c r="H118" i="4" a="1"/>
  <c r="H118" i="4" s="1"/>
  <c r="H86" i="4" a="1"/>
  <c r="H86" i="4" s="1"/>
  <c r="G61" i="4"/>
  <c r="G85" i="4"/>
  <c r="H22" i="4" a="1"/>
  <c r="H22" i="4" s="1"/>
  <c r="H71" i="4" a="1"/>
  <c r="H71" i="4" s="1"/>
  <c r="H62" i="4" a="1"/>
  <c r="H62" i="4" s="1"/>
  <c r="G112" i="4"/>
  <c r="H54" i="4" a="1"/>
  <c r="H54" i="4" s="1"/>
  <c r="H104" i="4" a="1"/>
  <c r="H104" i="4" s="1"/>
  <c r="G109" i="4"/>
  <c r="H31" i="4" a="1"/>
  <c r="H31" i="4" s="1"/>
  <c r="G29" i="4"/>
  <c r="H25" i="4" a="1"/>
  <c r="H25" i="4" s="1"/>
  <c r="G2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<sst xmlns="http://schemas.openxmlformats.org/spreadsheetml/2006/main" count="2785" uniqueCount="187">
  <si>
    <t>Data</t>
  </si>
  <si>
    <t>SKU</t>
  </si>
  <si>
    <t>Produto</t>
  </si>
  <si>
    <t>Quantidade</t>
  </si>
  <si>
    <t>2085A</t>
  </si>
  <si>
    <t>Notebook Ultrafino</t>
  </si>
  <si>
    <t>1679C</t>
  </si>
  <si>
    <t>7824D</t>
  </si>
  <si>
    <t>Headset Gamer</t>
  </si>
  <si>
    <t>2580D</t>
  </si>
  <si>
    <t>9491C</t>
  </si>
  <si>
    <t>3443C</t>
  </si>
  <si>
    <t>8046A</t>
  </si>
  <si>
    <t>Hub USB 3.0</t>
  </si>
  <si>
    <t>5470C</t>
  </si>
  <si>
    <t>6656A</t>
  </si>
  <si>
    <t>Carregador USB-C</t>
  </si>
  <si>
    <t>7435B</t>
  </si>
  <si>
    <t>4177B</t>
  </si>
  <si>
    <t>2443D</t>
  </si>
  <si>
    <t>Power Bank 10000mAh</t>
  </si>
  <si>
    <t>9530B</t>
  </si>
  <si>
    <t>Fonte 500W</t>
  </si>
  <si>
    <t>3898B</t>
  </si>
  <si>
    <t>Controle Xbox</t>
  </si>
  <si>
    <t>7076B</t>
  </si>
  <si>
    <t>Adaptador Bluetooth</t>
  </si>
  <si>
    <t>3760A</t>
  </si>
  <si>
    <t>Roteador Wi-Fi</t>
  </si>
  <si>
    <t>6331D</t>
  </si>
  <si>
    <t>5264C</t>
  </si>
  <si>
    <t>Placa de Vídeo 4GB</t>
  </si>
  <si>
    <t>6321A</t>
  </si>
  <si>
    <t>7774B</t>
  </si>
  <si>
    <t>8679B</t>
  </si>
  <si>
    <t>5949A</t>
  </si>
  <si>
    <t>1256C</t>
  </si>
  <si>
    <t>5437A</t>
  </si>
  <si>
    <t>4002D</t>
  </si>
  <si>
    <t>Cadeira Gamer</t>
  </si>
  <si>
    <t>2083A</t>
  </si>
  <si>
    <t>Cabo HDMI</t>
  </si>
  <si>
    <t>5959C</t>
  </si>
  <si>
    <t>9079D</t>
  </si>
  <si>
    <t>2168A</t>
  </si>
  <si>
    <t>9002A</t>
  </si>
  <si>
    <t>6492A</t>
  </si>
  <si>
    <t>9527D</t>
  </si>
  <si>
    <t>9646A</t>
  </si>
  <si>
    <t>1675A</t>
  </si>
  <si>
    <t>HD Externo 1TB</t>
  </si>
  <si>
    <t>6959C</t>
  </si>
  <si>
    <t>Cooler para CPU</t>
  </si>
  <si>
    <t>5337A</t>
  </si>
  <si>
    <t>3984B</t>
  </si>
  <si>
    <t>5564B</t>
  </si>
  <si>
    <t>2485D</t>
  </si>
  <si>
    <t>5334B</t>
  </si>
  <si>
    <t>1466B</t>
  </si>
  <si>
    <t>1885B</t>
  </si>
  <si>
    <t>5827A</t>
  </si>
  <si>
    <t>6150C</t>
  </si>
  <si>
    <t>Pendrive 64GB</t>
  </si>
  <si>
    <t>8828D</t>
  </si>
  <si>
    <t>4877A</t>
  </si>
  <si>
    <t>9485C</t>
  </si>
  <si>
    <t>8023A</t>
  </si>
  <si>
    <t>2192C</t>
  </si>
  <si>
    <t>9161D</t>
  </si>
  <si>
    <t>1465D</t>
  </si>
  <si>
    <t>3633A</t>
  </si>
  <si>
    <t>5941A</t>
  </si>
  <si>
    <t>6867A</t>
  </si>
  <si>
    <t>5968B</t>
  </si>
  <si>
    <t>5063B</t>
  </si>
  <si>
    <t>Monitor 24''</t>
  </si>
  <si>
    <t>4269B</t>
  </si>
  <si>
    <t>9068A</t>
  </si>
  <si>
    <t>3975C</t>
  </si>
  <si>
    <t>Webcam Full HD</t>
  </si>
  <si>
    <t>5021C</t>
  </si>
  <si>
    <t>4439B</t>
  </si>
  <si>
    <t>Suporte Monitor</t>
  </si>
  <si>
    <t>8445C</t>
  </si>
  <si>
    <t>5262B</t>
  </si>
  <si>
    <t>Teclado Mecânico</t>
  </si>
  <si>
    <t>8756C</t>
  </si>
  <si>
    <t>3657A</t>
  </si>
  <si>
    <t>1389D</t>
  </si>
  <si>
    <t>5712D</t>
  </si>
  <si>
    <t>8322C</t>
  </si>
  <si>
    <t>9150D</t>
  </si>
  <si>
    <t>4259C</t>
  </si>
  <si>
    <t>3059A</t>
  </si>
  <si>
    <t>2558A</t>
  </si>
  <si>
    <t>5118D</t>
  </si>
  <si>
    <t>4154D</t>
  </si>
  <si>
    <t>7085A</t>
  </si>
  <si>
    <t>3608A</t>
  </si>
  <si>
    <t>9853A</t>
  </si>
  <si>
    <t>5320D</t>
  </si>
  <si>
    <t>3891C</t>
  </si>
  <si>
    <t>6580A</t>
  </si>
  <si>
    <t>2362D</t>
  </si>
  <si>
    <t>4025A</t>
  </si>
  <si>
    <t>1220D</t>
  </si>
  <si>
    <t>7580B</t>
  </si>
  <si>
    <t>1120C</t>
  </si>
  <si>
    <t>1534A</t>
  </si>
  <si>
    <t>Mouse Óptico</t>
  </si>
  <si>
    <t>7928A</t>
  </si>
  <si>
    <t>3880C</t>
  </si>
  <si>
    <t>6100C</t>
  </si>
  <si>
    <t>3321A</t>
  </si>
  <si>
    <t>4836D</t>
  </si>
  <si>
    <t>8866B</t>
  </si>
  <si>
    <t>8367A</t>
  </si>
  <si>
    <t>9591C</t>
  </si>
  <si>
    <t>2286C</t>
  </si>
  <si>
    <t>3265C</t>
  </si>
  <si>
    <t>8593C</t>
  </si>
  <si>
    <t>8214A</t>
  </si>
  <si>
    <t>8345D</t>
  </si>
  <si>
    <t>6004A</t>
  </si>
  <si>
    <t>4159D</t>
  </si>
  <si>
    <t>3127C</t>
  </si>
  <si>
    <t>9019C</t>
  </si>
  <si>
    <t>7919C</t>
  </si>
  <si>
    <t>2651C</t>
  </si>
  <si>
    <t>1797D</t>
  </si>
  <si>
    <t>4528D</t>
  </si>
  <si>
    <t>6957A</t>
  </si>
  <si>
    <t>1698D</t>
  </si>
  <si>
    <t>7568D</t>
  </si>
  <si>
    <t>6932D</t>
  </si>
  <si>
    <t>9559A</t>
  </si>
  <si>
    <t>4592D</t>
  </si>
  <si>
    <t>5766B</t>
  </si>
  <si>
    <t>6300B</t>
  </si>
  <si>
    <t>2463C</t>
  </si>
  <si>
    <t>1751D</t>
  </si>
  <si>
    <t>8468C</t>
  </si>
  <si>
    <t>2525B</t>
  </si>
  <si>
    <t>3318C</t>
  </si>
  <si>
    <t>Descrição</t>
  </si>
  <si>
    <t>Categoria</t>
  </si>
  <si>
    <t>Preço</t>
  </si>
  <si>
    <t>Notebook com tela fina e processador rápido</t>
  </si>
  <si>
    <t>Componentes</t>
  </si>
  <si>
    <t>Hub com múltiplas portas USB 3.0</t>
  </si>
  <si>
    <t>Redes</t>
  </si>
  <si>
    <t>Placa de vídeo para jogos e edição gráfica</t>
  </si>
  <si>
    <t>Periféricos</t>
  </si>
  <si>
    <t>Fonte de alimentação estável para PCs</t>
  </si>
  <si>
    <t>Cabo HDMI com suporte a 4K</t>
  </si>
  <si>
    <t>Acessórios</t>
  </si>
  <si>
    <t>Adaptador para conexão Bluetooth em dispositivos</t>
  </si>
  <si>
    <t>Câmera com microfone embutido para videoconferência</t>
  </si>
  <si>
    <t>Imagem e Som</t>
  </si>
  <si>
    <t>Pendrive com alta velocidade de transferência</t>
  </si>
  <si>
    <t>Hardware</t>
  </si>
  <si>
    <t>Headset com isolamento de ruído e microfone</t>
  </si>
  <si>
    <t>Cooler eficiente para refrigeração de CPU</t>
  </si>
  <si>
    <t>Cadeira ergonômica com apoio lombar ajustável</t>
  </si>
  <si>
    <t>Roteador com Wi-Fi de banda dupla</t>
  </si>
  <si>
    <t>Bateria externa com duas saídas USB</t>
  </si>
  <si>
    <t>Armazenamento</t>
  </si>
  <si>
    <t>Suporte ajustável para dois monitores</t>
  </si>
  <si>
    <t>Teclado com iluminação RGB e teclas mecânicas</t>
  </si>
  <si>
    <t>Dispositivo com conexão USB de alta precisão</t>
  </si>
  <si>
    <t>Carregador rápido com entrada USB-C</t>
  </si>
  <si>
    <t>Unidade de armazenamento portátil com 1TB</t>
  </si>
  <si>
    <t>Monitor LED com resolução Full HD</t>
  </si>
  <si>
    <t>Controle sem fio compatível com PC e console</t>
  </si>
  <si>
    <t>Total de Entradas</t>
  </si>
  <si>
    <t>Total de Saídas</t>
  </si>
  <si>
    <t>Saldo Atual</t>
  </si>
  <si>
    <t>Valor em Estoque</t>
  </si>
  <si>
    <t>Status Produto</t>
  </si>
  <si>
    <t>Total Geral</t>
  </si>
  <si>
    <t>Soma de Valor em Estoque</t>
  </si>
  <si>
    <t>Rótulos de Linha</t>
  </si>
  <si>
    <t>Média de Preço</t>
  </si>
  <si>
    <t>Soma de Total de Saídas</t>
  </si>
  <si>
    <t>Nº SKU</t>
  </si>
  <si>
    <t>Valor do Estoque</t>
  </si>
  <si>
    <t>DASHBOARD LLC ELETRONICS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</si>
</sst>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-416]#,##0.00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28"/>
      <color theme="2" tint="-0.14999847407452621"/>
      <name val="Calibri"/>
      <family val="2"/>
      <scheme val="minor"/>
    </font>
    <font>
      <sz val="28"/>
      <color theme="2" tint="-0.149998474074526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2" fillId="0" borderId="0" xfId="0" applyNumberFormat="1" applyFont="1"/>
    <xf numFmtId="0" fontId="3" fillId="0" borderId="0" xfId="0" applyFont="1"/>
    <xf numFmtId="14" fontId="3" fillId="0" borderId="0" xfId="0" applyNumberFormat="1" applyFont="1"/>
    <xf numFmtId="164" fontId="1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0" borderId="0" xfId="0" applyNumberFormat="1" applyFont="1"/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9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4A86E8"/>
          <bgColor rgb="FF4A86E8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DNC.xlsx]Dinâmica!Tabela dinâmica4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Valor Total do Estoque/Categoria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Dinâmica!$O$3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Dinâmica!$N$4:$N$11</c:f>
              <c:strCache>
                <c:ptCount val="7"/>
                <c:pt idx="0">
                  <c:v>Acessórios</c:v>
                </c:pt>
                <c:pt idx="1">
                  <c:v>Armazenamento</c:v>
                </c:pt>
                <c:pt idx="2">
                  <c:v>Componentes</c:v>
                </c:pt>
                <c:pt idx="3">
                  <c:v>Hardware</c:v>
                </c:pt>
                <c:pt idx="4">
                  <c:v>Imagem e Som</c:v>
                </c:pt>
                <c:pt idx="5">
                  <c:v>Periféricos</c:v>
                </c:pt>
                <c:pt idx="6">
                  <c:v>Redes</c:v>
                </c:pt>
              </c:strCache>
            </c:strRef>
          </c:cat>
          <c:val>
            <c:numRef>
              <c:f>Dinâmica!$O$4:$O$11</c:f>
              <c:numCache>
                <c:formatCode>[$R$ -416]#,##0.00</c:formatCode>
                <c:ptCount val="7"/>
                <c:pt idx="0">
                  <c:v>1161583.0600000003</c:v>
                </c:pt>
                <c:pt idx="1">
                  <c:v>1369241.6600000001</c:v>
                </c:pt>
                <c:pt idx="2">
                  <c:v>967524.96999999986</c:v>
                </c:pt>
                <c:pt idx="3">
                  <c:v>1779317.9400000002</c:v>
                </c:pt>
                <c:pt idx="4">
                  <c:v>1772670.1</c:v>
                </c:pt>
                <c:pt idx="5">
                  <c:v>978667.67</c:v>
                </c:pt>
                <c:pt idx="6">
                  <c:v>2073020.7599999998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57-4016-AC07-025BF8F01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062563376"/>
        <c:axId val="2062571536"/>
      </c:barChart>
      <c:catAx>
        <c:axId val="20625633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571536"/>
        <c:crosses val="autoZero"/>
        <c:auto val="1"/>
        <c:lblAlgn val="ctr"/>
        <c:lblOffset val="100"/>
        <c:noMultiLvlLbl val="0"/>
      </c:catAx>
      <c:valAx>
        <c:axId val="20625715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R$ -416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56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tx1">
          <a:lumMod val="75000"/>
          <a:lumOff val="25000"/>
        </a:schemeClr>
      </a:solidFill>
      <a:round/>
    </a:ln>
    <a:effectLst/>
    <a:scene3d>
      <a:camera prst="orthographicFront"/>
      <a:lightRig rig="threePt" dir="t"/>
    </a:scene3d>
    <a:sp3d prstMaterial="matte">
      <a:bevelT w="63500" h="63500" prst="artDeco"/>
      <a:contourClr>
        <a:srgbClr val="000000"/>
      </a:contourClr>
    </a:sp3d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DNC.xlsx]Dinâmica!Tabela dinâmica5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de Saídas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Dinâmica!$R$3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Dinâmica!$Q$4:$Q$11</c:f>
              <c:strCache>
                <c:ptCount val="7"/>
                <c:pt idx="0">
                  <c:v>Acessórios</c:v>
                </c:pt>
                <c:pt idx="1">
                  <c:v>Armazenamento</c:v>
                </c:pt>
                <c:pt idx="2">
                  <c:v>Componentes</c:v>
                </c:pt>
                <c:pt idx="3">
                  <c:v>Hardware</c:v>
                </c:pt>
                <c:pt idx="4">
                  <c:v>Imagem e Som</c:v>
                </c:pt>
                <c:pt idx="5">
                  <c:v>Periféricos</c:v>
                </c:pt>
                <c:pt idx="6">
                  <c:v>Redes</c:v>
                </c:pt>
              </c:strCache>
            </c:strRef>
          </c:cat>
          <c:val>
            <c:numRef>
              <c:f>Dinâmica!$R$4:$R$11</c:f>
              <c:numCache>
                <c:formatCode>General</c:formatCode>
                <c:ptCount val="7"/>
                <c:pt idx="0">
                  <c:v>3674</c:v>
                </c:pt>
                <c:pt idx="1">
                  <c:v>3098</c:v>
                </c:pt>
                <c:pt idx="2">
                  <c:v>2239</c:v>
                </c:pt>
                <c:pt idx="3">
                  <c:v>2182</c:v>
                </c:pt>
                <c:pt idx="4">
                  <c:v>2691</c:v>
                </c:pt>
                <c:pt idx="5">
                  <c:v>2847</c:v>
                </c:pt>
                <c:pt idx="6">
                  <c:v>3147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3-4794-888D-2C9A8940A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949792784"/>
        <c:axId val="1949786064"/>
      </c:barChart>
      <c:catAx>
        <c:axId val="19497927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9786064"/>
        <c:crosses val="autoZero"/>
        <c:auto val="1"/>
        <c:lblAlgn val="ctr"/>
        <c:lblOffset val="100"/>
        <c:noMultiLvlLbl val="0"/>
      </c:catAx>
      <c:valAx>
        <c:axId val="19497860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979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tx1">
          <a:lumMod val="75000"/>
          <a:lumOff val="25000"/>
        </a:schemeClr>
      </a:solidFill>
      <a:round/>
    </a:ln>
    <a:effectLst/>
    <a:scene3d>
      <a:camera prst="orthographicFront"/>
      <a:lightRig rig="threePt" dir="t"/>
    </a:scene3d>
    <a:sp3d prstMaterial="matte">
      <a:bevelT w="63500" h="63500" prst="artDeco"/>
      <a:contourClr>
        <a:srgbClr val="000000"/>
      </a:contourClr>
    </a:sp3d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DNC.xlsx]Dinâmica!Tabela dinâmica6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Preço Médio</a:t>
            </a:r>
            <a:r>
              <a:rPr lang="en-US" baseline="0"/>
              <a:t>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Dinâmica!$U$3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Dinâmica!$T$4:$T$11</c:f>
              <c:strCache>
                <c:ptCount val="7"/>
                <c:pt idx="0">
                  <c:v>Acessórios</c:v>
                </c:pt>
                <c:pt idx="1">
                  <c:v>Armazenamento</c:v>
                </c:pt>
                <c:pt idx="2">
                  <c:v>Componentes</c:v>
                </c:pt>
                <c:pt idx="3">
                  <c:v>Hardware</c:v>
                </c:pt>
                <c:pt idx="4">
                  <c:v>Imagem e Som</c:v>
                </c:pt>
                <c:pt idx="5">
                  <c:v>Periféricos</c:v>
                </c:pt>
                <c:pt idx="6">
                  <c:v>Redes</c:v>
                </c:pt>
              </c:strCache>
            </c:strRef>
          </c:cat>
          <c:val>
            <c:numRef>
              <c:f>Dinâmica!$U$4:$U$11</c:f>
              <c:numCache>
                <c:formatCode>[$R$ -416]#,##0.00</c:formatCode>
                <c:ptCount val="7"/>
                <c:pt idx="0">
                  <c:v>561.26199999999994</c:v>
                </c:pt>
                <c:pt idx="1">
                  <c:v>457.1184210526315</c:v>
                </c:pt>
                <c:pt idx="2">
                  <c:v>476.05</c:v>
                </c:pt>
                <c:pt idx="3">
                  <c:v>573.39</c:v>
                </c:pt>
                <c:pt idx="4">
                  <c:v>519.15117647058821</c:v>
                </c:pt>
                <c:pt idx="5">
                  <c:v>563.89</c:v>
                </c:pt>
                <c:pt idx="6">
                  <c:v>586.82500000000005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B3-42BC-8D63-F5CC5AD17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949711728"/>
        <c:axId val="1949706448"/>
      </c:barChart>
      <c:catAx>
        <c:axId val="1949711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9706448"/>
        <c:crosses val="autoZero"/>
        <c:auto val="1"/>
        <c:lblAlgn val="ctr"/>
        <c:lblOffset val="100"/>
        <c:noMultiLvlLbl val="0"/>
      </c:catAx>
      <c:valAx>
        <c:axId val="19497064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R$ -416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971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tx1">
          <a:lumMod val="75000"/>
          <a:lumOff val="25000"/>
        </a:schemeClr>
      </a:solidFill>
      <a:round/>
    </a:ln>
    <a:effectLst/>
    <a:scene3d>
      <a:camera prst="orthographicFront"/>
      <a:lightRig rig="threePt" dir="t"/>
    </a:scene3d>
    <a:sp3d prstMaterial="matte">
      <a:bevelT w="63500" h="63500" prst="artDeco"/>
      <a:contourClr>
        <a:srgbClr val="000000"/>
      </a:contourClr>
    </a:sp3d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5</xdr:row>
      <xdr:rowOff>6350</xdr:rowOff>
    </xdr:from>
    <xdr:to>
      <xdr:col>38</xdr:col>
      <xdr:colOff>38100</xdr:colOff>
      <xdr:row>25</xdr:row>
      <xdr:rowOff>12700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7A1B331-AB04-4903-AA97-61ECC20B2E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6350</xdr:colOff>
      <xdr:row>27</xdr:row>
      <xdr:rowOff>0</xdr:rowOff>
    </xdr:from>
    <xdr:to>
      <xdr:col>76</xdr:col>
      <xdr:colOff>25400</xdr:colOff>
      <xdr:row>47</xdr:row>
      <xdr:rowOff>76200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816AB78-C141-4FBC-B051-E5FBDB977B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19050</xdr:colOff>
      <xdr:row>5</xdr:row>
      <xdr:rowOff>6350</xdr:rowOff>
    </xdr:from>
    <xdr:to>
      <xdr:col>76</xdr:col>
      <xdr:colOff>19050</xdr:colOff>
      <xdr:row>25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B0994142-584C-4259-B9E1-8502F04C8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801.461045023148" createdVersion="8" refreshedVersion="8" minRefreshableVersion="3" recordCount="120" xr:uid="{5AC4EEB9-BA03-4A98-B7EE-7B1868FA8A8D}">
  <cacheSource type="worksheet">
    <worksheetSource ref="A1:H121" sheet="Resumo Estoque"/>
  </cacheSource>
  <cacheFields count="8">
    <cacheField name="SKU" numFmtId="0">
      <sharedItems/>
    </cacheField>
    <cacheField name="Categoria" numFmtId="0">
      <sharedItems count="7">
        <s v="Componentes"/>
        <s v="Redes"/>
        <s v="Periféricos"/>
        <s v="Acessórios"/>
        <s v="Imagem e Som"/>
        <s v="Hardware"/>
        <s v="Armazenamento"/>
      </sharedItems>
    </cacheField>
    <cacheField name="Preço" numFmtId="164">
      <sharedItems containsSemiMixedTypes="0" containsString="0" containsNumber="1" minValue="89.57" maxValue="991.03"/>
    </cacheField>
    <cacheField name="Total de Entradas" numFmtId="0">
      <sharedItems containsSemiMixedTypes="0" containsString="0" containsNumber="1" containsInteger="1" minValue="0" maxValue="921"/>
    </cacheField>
    <cacheField name="Total de Saídas" numFmtId="0">
      <sharedItems containsSemiMixedTypes="0" containsString="0" containsNumber="1" containsInteger="1" minValue="0" maxValue="462"/>
    </cacheField>
    <cacheField name="Saldo Atual" numFmtId="0">
      <sharedItems containsSemiMixedTypes="0" containsString="0" containsNumber="1" containsInteger="1" minValue="-277" maxValue="781"/>
    </cacheField>
    <cacheField name="Valor em Estoque" numFmtId="164">
      <sharedItems containsSemiMixedTypes="0" containsString="0" containsNumber="1" minValue="-138344.88" maxValue="436718.10000000003"/>
    </cacheField>
    <cacheField name="Status Prod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3975C"/>
    <x v="0"/>
    <n v="976.36"/>
    <n v="233"/>
    <n v="227"/>
    <n v="6"/>
    <n v="5858.16"/>
    <s v="Crítico"/>
  </r>
  <r>
    <s v="5827A"/>
    <x v="1"/>
    <n v="652.16999999999996"/>
    <n v="347"/>
    <n v="89"/>
    <n v="258"/>
    <n v="168259.86"/>
    <s v="Excesso"/>
  </r>
  <r>
    <s v="3633A"/>
    <x v="2"/>
    <n v="523.33000000000004"/>
    <n v="291"/>
    <n v="198"/>
    <n v="93"/>
    <n v="48669.69"/>
    <s v="OK"/>
  </r>
  <r>
    <s v="9491C"/>
    <x v="1"/>
    <n v="101.03"/>
    <n v="266"/>
    <n v="180"/>
    <n v="86"/>
    <n v="8688.58"/>
    <s v="OK"/>
  </r>
  <r>
    <s v="5712D"/>
    <x v="3"/>
    <n v="389.93"/>
    <n v="238"/>
    <n v="29"/>
    <n v="209"/>
    <n v="81495.37"/>
    <s v="Excesso"/>
  </r>
  <r>
    <s v="7824D"/>
    <x v="0"/>
    <n v="238.68"/>
    <n v="317"/>
    <n v="55"/>
    <n v="262"/>
    <n v="62534.16"/>
    <s v="Excesso"/>
  </r>
  <r>
    <s v="9485C"/>
    <x v="4"/>
    <n v="395.54"/>
    <n v="262"/>
    <n v="161"/>
    <n v="101"/>
    <n v="39949.54"/>
    <s v="Excesso"/>
  </r>
  <r>
    <s v="2192C"/>
    <x v="3"/>
    <n v="97.2"/>
    <n v="380"/>
    <n v="235"/>
    <n v="145"/>
    <n v="14094"/>
    <s v="Excesso"/>
  </r>
  <r>
    <s v="3127C"/>
    <x v="2"/>
    <n v="938.68"/>
    <n v="171"/>
    <n v="88"/>
    <n v="83"/>
    <n v="77910.44"/>
    <s v="OK"/>
  </r>
  <r>
    <s v="9527D"/>
    <x v="5"/>
    <n v="536.84"/>
    <n v="376"/>
    <n v="57"/>
    <n v="319"/>
    <n v="171251.96000000002"/>
    <s v="Excesso"/>
  </r>
  <r>
    <s v="8828D"/>
    <x v="5"/>
    <n v="482.7"/>
    <n v="657"/>
    <n v="338"/>
    <n v="319"/>
    <n v="153981.29999999999"/>
    <s v="Excesso"/>
  </r>
  <r>
    <s v="8679B"/>
    <x v="5"/>
    <n v="756.15"/>
    <n v="277"/>
    <n v="241"/>
    <n v="36"/>
    <n v="27221.399999999998"/>
    <s v="OK"/>
  </r>
  <r>
    <s v="1797D"/>
    <x v="1"/>
    <n v="966.44"/>
    <n v="222"/>
    <n v="261"/>
    <n v="-39"/>
    <n v="-37691.160000000003"/>
    <s v="Estoque Negativo"/>
  </r>
  <r>
    <s v="7928A"/>
    <x v="0"/>
    <n v="223.56"/>
    <n v="577"/>
    <n v="189"/>
    <n v="388"/>
    <n v="86741.28"/>
    <s v="Excesso"/>
  </r>
  <r>
    <s v="3265C"/>
    <x v="0"/>
    <n v="257.3"/>
    <n v="284"/>
    <n v="127"/>
    <n v="157"/>
    <n v="40396.1"/>
    <s v="Excesso"/>
  </r>
  <r>
    <s v="3608A"/>
    <x v="5"/>
    <n v="381.51"/>
    <n v="104"/>
    <n v="57"/>
    <n v="47"/>
    <n v="17930.97"/>
    <s v="OK"/>
  </r>
  <r>
    <s v="2083A"/>
    <x v="3"/>
    <n v="837.9"/>
    <n v="336"/>
    <n v="188"/>
    <n v="148"/>
    <n v="124009.2"/>
    <s v="Excesso"/>
  </r>
  <r>
    <s v="6321A"/>
    <x v="1"/>
    <n v="715.01"/>
    <n v="207"/>
    <n v="217"/>
    <n v="-10"/>
    <n v="-7150.1"/>
    <s v="Estoque Negativo"/>
  </r>
  <r>
    <s v="5968B"/>
    <x v="1"/>
    <n v="393.32"/>
    <n v="335"/>
    <n v="164"/>
    <n v="171"/>
    <n v="67257.72"/>
    <s v="Excesso"/>
  </r>
  <r>
    <s v="1885B"/>
    <x v="4"/>
    <n v="240.69"/>
    <n v="163"/>
    <n v="337"/>
    <n v="-174"/>
    <n v="-41880.06"/>
    <s v="Estoque Negativo"/>
  </r>
  <r>
    <s v="4002D"/>
    <x v="6"/>
    <n v="477.8"/>
    <n v="388"/>
    <n v="81"/>
    <n v="307"/>
    <n v="146684.6"/>
    <s v="Excesso"/>
  </r>
  <r>
    <s v="5264C"/>
    <x v="1"/>
    <n v="469.5"/>
    <n v="572"/>
    <n v="142"/>
    <n v="430"/>
    <n v="201885"/>
    <s v="Excesso"/>
  </r>
  <r>
    <s v="8367A"/>
    <x v="2"/>
    <n v="435.65"/>
    <n v="715"/>
    <n v="96"/>
    <n v="619"/>
    <n v="269667.34999999998"/>
    <s v="Excesso"/>
  </r>
  <r>
    <s v="1256C"/>
    <x v="1"/>
    <n v="491.38"/>
    <n v="267"/>
    <n v="224"/>
    <n v="43"/>
    <n v="21129.34"/>
    <s v="OK"/>
  </r>
  <r>
    <s v="9853A"/>
    <x v="0"/>
    <n v="250.84"/>
    <n v="362"/>
    <n v="182"/>
    <n v="180"/>
    <n v="45151.199999999997"/>
    <s v="Excesso"/>
  </r>
  <r>
    <s v="2085A"/>
    <x v="4"/>
    <n v="802.36"/>
    <n v="416"/>
    <n v="138"/>
    <n v="278"/>
    <n v="223056.08000000002"/>
    <s v="Excesso"/>
  </r>
  <r>
    <s v="9559A"/>
    <x v="6"/>
    <n v="167.32"/>
    <n v="211"/>
    <n v="135"/>
    <n v="76"/>
    <n v="12716.32"/>
    <s v="OK"/>
  </r>
  <r>
    <s v="3898B"/>
    <x v="3"/>
    <n v="120.79"/>
    <n v="252"/>
    <n v="194"/>
    <n v="58"/>
    <n v="7005.8200000000006"/>
    <s v="OK"/>
  </r>
  <r>
    <s v="5941A"/>
    <x v="1"/>
    <n v="210.72"/>
    <n v="921"/>
    <n v="365"/>
    <n v="556"/>
    <n v="117160.31999999999"/>
    <s v="Excesso"/>
  </r>
  <r>
    <s v="1120C"/>
    <x v="4"/>
    <n v="270.27"/>
    <n v="67"/>
    <n v="74"/>
    <n v="-7"/>
    <n v="-1891.8899999999999"/>
    <s v="Estoque Negativo"/>
  </r>
  <r>
    <s v="4592D"/>
    <x v="2"/>
    <n v="711.1"/>
    <n v="312"/>
    <n v="289"/>
    <n v="23"/>
    <n v="16355.300000000001"/>
    <s v="OK"/>
  </r>
  <r>
    <s v="1389D"/>
    <x v="1"/>
    <n v="823.71"/>
    <n v="404"/>
    <n v="108"/>
    <n v="296"/>
    <n v="243818.16"/>
    <s v="Excesso"/>
  </r>
  <r>
    <s v="5470C"/>
    <x v="2"/>
    <n v="107.76"/>
    <n v="264"/>
    <n v="217"/>
    <n v="47"/>
    <n v="5064.72"/>
    <s v="OK"/>
  </r>
  <r>
    <s v="8593C"/>
    <x v="3"/>
    <n v="653.64"/>
    <n v="241"/>
    <n v="183"/>
    <n v="58"/>
    <n v="37911.120000000003"/>
    <s v="OK"/>
  </r>
  <r>
    <s v="7568D"/>
    <x v="3"/>
    <n v="252.85"/>
    <n v="11"/>
    <n v="272"/>
    <n v="-261"/>
    <n v="-65993.849999999991"/>
    <s v="Estoque Negativo"/>
  </r>
  <r>
    <s v="6331D"/>
    <x v="2"/>
    <n v="775.44"/>
    <n v="238"/>
    <n v="221"/>
    <n v="17"/>
    <n v="13182.480000000001"/>
    <s v="Crítico"/>
  </r>
  <r>
    <s v="8046A"/>
    <x v="4"/>
    <n v="200.74"/>
    <n v="428"/>
    <n v="133"/>
    <n v="295"/>
    <n v="59218.3"/>
    <s v="Excesso"/>
  </r>
  <r>
    <s v="7919C"/>
    <x v="6"/>
    <n v="347.43"/>
    <n v="218"/>
    <n v="165"/>
    <n v="53"/>
    <n v="18413.79"/>
    <s v="OK"/>
  </r>
  <r>
    <s v="9019C"/>
    <x v="0"/>
    <n v="705.93"/>
    <n v="402"/>
    <n v="137"/>
    <n v="265"/>
    <n v="187071.44999999998"/>
    <s v="Excesso"/>
  </r>
  <r>
    <s v="4528D"/>
    <x v="6"/>
    <n v="365.28"/>
    <n v="80"/>
    <n v="139"/>
    <n v="-59"/>
    <n v="-21551.519999999997"/>
    <s v="Estoque Negativo"/>
  </r>
  <r>
    <s v="4269B"/>
    <x v="3"/>
    <n v="536.77"/>
    <n v="242"/>
    <n v="97"/>
    <n v="145"/>
    <n v="77831.649999999994"/>
    <s v="Excesso"/>
  </r>
  <r>
    <s v="6100C"/>
    <x v="0"/>
    <n v="877.23"/>
    <n v="258"/>
    <n v="231"/>
    <n v="27"/>
    <n v="23685.21"/>
    <s v="OK"/>
  </r>
  <r>
    <s v="2463C"/>
    <x v="4"/>
    <n v="379.85"/>
    <n v="129"/>
    <n v="176"/>
    <n v="-47"/>
    <n v="-17852.95"/>
    <s v="Estoque Negativo"/>
  </r>
  <r>
    <s v="3891C"/>
    <x v="3"/>
    <n v="991.03"/>
    <n v="348"/>
    <n v="153"/>
    <n v="195"/>
    <n v="193250.85"/>
    <s v="Excesso"/>
  </r>
  <r>
    <s v="7085A"/>
    <x v="3"/>
    <n v="174.26"/>
    <n v="297"/>
    <n v="160"/>
    <n v="137"/>
    <n v="23873.62"/>
    <s v="Excesso"/>
  </r>
  <r>
    <s v="6656A"/>
    <x v="5"/>
    <n v="339.98"/>
    <n v="116"/>
    <n v="154"/>
    <n v="-38"/>
    <n v="-12919.240000000002"/>
    <s v="Estoque Negativo"/>
  </r>
  <r>
    <s v="7580B"/>
    <x v="0"/>
    <n v="143.75"/>
    <n v="297"/>
    <n v="17"/>
    <n v="280"/>
    <n v="40250"/>
    <s v="Excesso"/>
  </r>
  <r>
    <s v="2525B"/>
    <x v="6"/>
    <n v="124.79"/>
    <n v="0"/>
    <n v="99"/>
    <n v="-99"/>
    <n v="-12354.210000000001"/>
    <s v="Estoque Negativo"/>
  </r>
  <r>
    <s v="9530B"/>
    <x v="4"/>
    <n v="539.37"/>
    <n v="407"/>
    <n v="212"/>
    <n v="195"/>
    <n v="105177.15"/>
    <s v="Excesso"/>
  </r>
  <r>
    <s v="1679C"/>
    <x v="0"/>
    <n v="121.42"/>
    <n v="327"/>
    <n v="202"/>
    <n v="125"/>
    <n v="15177.5"/>
    <s v="Excesso"/>
  </r>
  <r>
    <s v="3984B"/>
    <x v="2"/>
    <n v="188.17"/>
    <n v="169"/>
    <n v="107"/>
    <n v="62"/>
    <n v="11666.539999999999"/>
    <s v="OK"/>
  </r>
  <r>
    <s v="3443C"/>
    <x v="5"/>
    <n v="216.51"/>
    <n v="405"/>
    <n v="45"/>
    <n v="360"/>
    <n v="77943.599999999991"/>
    <s v="Excesso"/>
  </r>
  <r>
    <s v="5564B"/>
    <x v="6"/>
    <n v="919.26"/>
    <n v="324"/>
    <n v="95"/>
    <n v="229"/>
    <n v="210510.54"/>
    <s v="Excesso"/>
  </r>
  <r>
    <s v="5949A"/>
    <x v="0"/>
    <n v="504.18"/>
    <n v="655"/>
    <n v="64"/>
    <n v="591"/>
    <n v="297970.38"/>
    <s v="Excesso"/>
  </r>
  <r>
    <s v="7076B"/>
    <x v="6"/>
    <n v="793.19"/>
    <n v="555"/>
    <n v="26"/>
    <n v="529"/>
    <n v="419597.51"/>
    <s v="Excesso"/>
  </r>
  <r>
    <s v="8214A"/>
    <x v="4"/>
    <n v="542.75"/>
    <n v="238"/>
    <n v="105"/>
    <n v="133"/>
    <n v="72185.75"/>
    <s v="Excesso"/>
  </r>
  <r>
    <s v="4154D"/>
    <x v="1"/>
    <n v="363.9"/>
    <n v="523"/>
    <n v="179"/>
    <n v="344"/>
    <n v="125181.59999999999"/>
    <s v="Excesso"/>
  </r>
  <r>
    <s v="4439B"/>
    <x v="1"/>
    <n v="584.16999999999996"/>
    <n v="354"/>
    <n v="238"/>
    <n v="116"/>
    <n v="67763.72"/>
    <s v="Excesso"/>
  </r>
  <r>
    <s v="7435B"/>
    <x v="0"/>
    <n v="820.78"/>
    <n v="406"/>
    <n v="346"/>
    <n v="60"/>
    <n v="49246.799999999996"/>
    <s v="OK"/>
  </r>
  <r>
    <s v="9079D"/>
    <x v="0"/>
    <n v="92.41"/>
    <n v="448"/>
    <n v="71"/>
    <n v="377"/>
    <n v="34838.57"/>
    <s v="Excesso"/>
  </r>
  <r>
    <s v="9002A"/>
    <x v="1"/>
    <n v="977.6"/>
    <n v="594"/>
    <n v="246"/>
    <n v="348"/>
    <n v="340204.79999999999"/>
    <s v="Excesso"/>
  </r>
  <r>
    <s v="2286C"/>
    <x v="2"/>
    <n v="580.80999999999995"/>
    <n v="73"/>
    <n v="180"/>
    <n v="-107"/>
    <n v="-62146.669999999991"/>
    <s v="Estoque Negativo"/>
  </r>
  <r>
    <s v="9591C"/>
    <x v="6"/>
    <n v="383.87"/>
    <n v="174"/>
    <n v="281"/>
    <n v="-107"/>
    <n v="-41074.090000000004"/>
    <s v="Estoque Negativo"/>
  </r>
  <r>
    <s v="5337A"/>
    <x v="6"/>
    <n v="723.8"/>
    <n v="294"/>
    <n v="276"/>
    <n v="18"/>
    <n v="13028.4"/>
    <s v="Crítico"/>
  </r>
  <r>
    <s v="6867A"/>
    <x v="6"/>
    <n v="503.07"/>
    <n v="209"/>
    <n v="273"/>
    <n v="-64"/>
    <n v="-32196.48"/>
    <s v="Estoque Negativo"/>
  </r>
  <r>
    <s v="4877A"/>
    <x v="1"/>
    <n v="742.3"/>
    <n v="392"/>
    <n v="152"/>
    <n v="240"/>
    <n v="178152"/>
    <s v="Excesso"/>
  </r>
  <r>
    <s v="5437A"/>
    <x v="5"/>
    <n v="506.5"/>
    <n v="291"/>
    <n v="70"/>
    <n v="221"/>
    <n v="111936.5"/>
    <s v="Excesso"/>
  </r>
  <r>
    <s v="5334B"/>
    <x v="5"/>
    <n v="863.63"/>
    <n v="394"/>
    <n v="138"/>
    <n v="256"/>
    <n v="221089.28"/>
    <s v="Excesso"/>
  </r>
  <r>
    <s v="2580D"/>
    <x v="6"/>
    <n v="577.42999999999995"/>
    <n v="298"/>
    <n v="244"/>
    <n v="54"/>
    <n v="31181.219999999998"/>
    <s v="OK"/>
  </r>
  <r>
    <s v="9161D"/>
    <x v="4"/>
    <n v="588.87"/>
    <n v="321"/>
    <n v="193"/>
    <n v="128"/>
    <n v="75375.360000000001"/>
    <s v="Excesso"/>
  </r>
  <r>
    <s v="6300B"/>
    <x v="3"/>
    <n v="741.36"/>
    <n v="131"/>
    <n v="197"/>
    <n v="-66"/>
    <n v="-48929.760000000002"/>
    <s v="Estoque Negativo"/>
  </r>
  <r>
    <s v="1675A"/>
    <x v="6"/>
    <n v="89.57"/>
    <n v="404"/>
    <n v="208"/>
    <n v="196"/>
    <n v="17555.719999999998"/>
    <s v="Excesso"/>
  </r>
  <r>
    <s v="5959C"/>
    <x v="3"/>
    <n v="560.16"/>
    <n v="495"/>
    <n v="201"/>
    <n v="294"/>
    <n v="164687.03999999998"/>
    <s v="Excesso"/>
  </r>
  <r>
    <s v="1751D"/>
    <x v="6"/>
    <n v="306.18"/>
    <n v="8"/>
    <n v="215"/>
    <n v="-207"/>
    <n v="-63379.26"/>
    <s v="Estoque Negativo"/>
  </r>
  <r>
    <s v="1466B"/>
    <x v="4"/>
    <n v="499.23"/>
    <n v="475"/>
    <n v="112"/>
    <n v="363"/>
    <n v="181220.49000000002"/>
    <s v="Excesso"/>
  </r>
  <r>
    <s v="9068A"/>
    <x v="5"/>
    <n v="833.87"/>
    <n v="424"/>
    <n v="232"/>
    <n v="192"/>
    <n v="160103.04000000001"/>
    <s v="Excesso"/>
  </r>
  <r>
    <s v="2558A"/>
    <x v="3"/>
    <n v="280.29000000000002"/>
    <n v="126"/>
    <n v="172"/>
    <n v="-46"/>
    <n v="-12893.34"/>
    <s v="Estoque Negativo"/>
  </r>
  <r>
    <s v="8445C"/>
    <x v="3"/>
    <n v="818.42"/>
    <n v="410"/>
    <n v="154"/>
    <n v="256"/>
    <n v="209515.51999999999"/>
    <s v="Excesso"/>
  </r>
  <r>
    <s v="3880C"/>
    <x v="1"/>
    <n v="830.71"/>
    <n v="193"/>
    <n v="74"/>
    <n v="119"/>
    <n v="98854.49"/>
    <s v="Excesso"/>
  </r>
  <r>
    <s v="2362D"/>
    <x v="1"/>
    <n v="306.2"/>
    <n v="447"/>
    <n v="131"/>
    <n v="316"/>
    <n v="96759.2"/>
    <s v="Excesso"/>
  </r>
  <r>
    <s v="6959C"/>
    <x v="6"/>
    <n v="576.61"/>
    <n v="698"/>
    <n v="107"/>
    <n v="591"/>
    <n v="340776.51"/>
    <s v="Excesso"/>
  </r>
  <r>
    <s v="5063B"/>
    <x v="5"/>
    <n v="188.01"/>
    <n v="310"/>
    <n v="207"/>
    <n v="103"/>
    <n v="19365.03"/>
    <s v="Excesso"/>
  </r>
  <r>
    <s v="7774B"/>
    <x v="5"/>
    <n v="401.23"/>
    <n v="303"/>
    <n v="13"/>
    <n v="290"/>
    <n v="116356.70000000001"/>
    <s v="Excesso"/>
  </r>
  <r>
    <s v="2651C"/>
    <x v="2"/>
    <n v="811.47"/>
    <n v="257"/>
    <n v="196"/>
    <n v="61"/>
    <n v="49499.67"/>
    <s v="OK"/>
  </r>
  <r>
    <s v="4025A"/>
    <x v="4"/>
    <n v="447.66"/>
    <n v="353"/>
    <n v="159"/>
    <n v="194"/>
    <n v="86846.040000000008"/>
    <s v="Excesso"/>
  </r>
  <r>
    <s v="3059A"/>
    <x v="2"/>
    <n v="670.72"/>
    <n v="552"/>
    <n v="316"/>
    <n v="236"/>
    <n v="158289.92000000001"/>
    <s v="Excesso"/>
  </r>
  <r>
    <s v="1698D"/>
    <x v="2"/>
    <n v="302.33999999999997"/>
    <n v="439"/>
    <n v="147"/>
    <n v="292"/>
    <n v="88283.28"/>
    <s v="Excesso"/>
  </r>
  <r>
    <s v="5021C"/>
    <x v="0"/>
    <n v="658.98"/>
    <n v="45"/>
    <n v="205"/>
    <n v="-160"/>
    <n v="-105436.8"/>
    <s v="Estoque Negativo"/>
  </r>
  <r>
    <s v="6150C"/>
    <x v="4"/>
    <n v="294.33"/>
    <n v="799"/>
    <n v="18"/>
    <n v="781"/>
    <n v="229871.72999999998"/>
    <s v="Excesso"/>
  </r>
  <r>
    <s v="8468C"/>
    <x v="2"/>
    <n v="499.44"/>
    <n v="0"/>
    <n v="277"/>
    <n v="-277"/>
    <n v="-138344.88"/>
    <s v="Estoque Negativo"/>
  </r>
  <r>
    <s v="4177B"/>
    <x v="2"/>
    <n v="787.03"/>
    <n v="356"/>
    <n v="169"/>
    <n v="187"/>
    <n v="147174.60999999999"/>
    <s v="Excesso"/>
  </r>
  <r>
    <s v="6492A"/>
    <x v="1"/>
    <n v="806.69"/>
    <n v="355"/>
    <n v="196"/>
    <n v="159"/>
    <n v="128263.71"/>
    <s v="Excesso"/>
  </r>
  <r>
    <s v="4159D"/>
    <x v="3"/>
    <n v="334.38"/>
    <n v="222"/>
    <n v="297"/>
    <n v="-75"/>
    <n v="-25078.5"/>
    <s v="Estoque Negativo"/>
  </r>
  <r>
    <s v="3318C"/>
    <x v="3"/>
    <n v="912.84"/>
    <n v="0"/>
    <n v="51"/>
    <n v="-51"/>
    <n v="-46554.840000000004"/>
    <s v="Estoque Negativo"/>
  </r>
  <r>
    <s v="9646A"/>
    <x v="5"/>
    <n v="349.59"/>
    <n v="335"/>
    <n v="179"/>
    <n v="156"/>
    <n v="54536.039999999994"/>
    <s v="Excesso"/>
  </r>
  <r>
    <s v="2168A"/>
    <x v="5"/>
    <n v="959.82"/>
    <n v="509"/>
    <n v="54"/>
    <n v="455"/>
    <n v="436718.10000000003"/>
    <s v="Excesso"/>
  </r>
  <r>
    <s v="8322C"/>
    <x v="3"/>
    <n v="970.1"/>
    <n v="376"/>
    <n v="182"/>
    <n v="194"/>
    <n v="188199.4"/>
    <s v="Excesso"/>
  </r>
  <r>
    <s v="5118D"/>
    <x v="2"/>
    <n v="950.74"/>
    <n v="187"/>
    <n v="64"/>
    <n v="123"/>
    <n v="116941.02"/>
    <s v="Excesso"/>
  </r>
  <r>
    <s v="4836D"/>
    <x v="2"/>
    <n v="405.92"/>
    <n v="413"/>
    <n v="132"/>
    <n v="281"/>
    <n v="114063.52"/>
    <s v="Excesso"/>
  </r>
  <r>
    <s v="3657A"/>
    <x v="3"/>
    <n v="510.54"/>
    <n v="686"/>
    <n v="205"/>
    <n v="481"/>
    <n v="245569.74000000002"/>
    <s v="Excesso"/>
  </r>
  <r>
    <s v="6004A"/>
    <x v="5"/>
    <n v="950.93"/>
    <n v="190"/>
    <n v="213"/>
    <n v="-23"/>
    <n v="-21871.39"/>
    <s v="Estoque Negativo"/>
  </r>
  <r>
    <s v="1220D"/>
    <x v="4"/>
    <n v="676.7"/>
    <n v="570"/>
    <n v="152"/>
    <n v="418"/>
    <n v="282860.60000000003"/>
    <s v="Excesso"/>
  </r>
  <r>
    <s v="1465D"/>
    <x v="6"/>
    <n v="383.27"/>
    <n v="413"/>
    <n v="274"/>
    <n v="139"/>
    <n v="53274.53"/>
    <s v="Excesso"/>
  </r>
  <r>
    <s v="2485D"/>
    <x v="3"/>
    <n v="597.80999999999995"/>
    <n v="168"/>
    <n v="239"/>
    <n v="-71"/>
    <n v="-42444.509999999995"/>
    <s v="Estoque Negativo"/>
  </r>
  <r>
    <s v="5320D"/>
    <x v="6"/>
    <n v="549.75"/>
    <n v="223"/>
    <n v="0"/>
    <n v="223"/>
    <n v="122594.25"/>
    <s v="Excesso"/>
  </r>
  <r>
    <s v="8866B"/>
    <x v="1"/>
    <n v="576.48"/>
    <n v="322"/>
    <n v="158"/>
    <n v="164"/>
    <n v="94542.720000000001"/>
    <s v="Excesso"/>
  </r>
  <r>
    <s v="8345D"/>
    <x v="4"/>
    <n v="931.11"/>
    <n v="323"/>
    <n v="104"/>
    <n v="219"/>
    <n v="203913.09"/>
    <s v="Excesso"/>
  </r>
  <r>
    <s v="3760A"/>
    <x v="6"/>
    <n v="967.84"/>
    <n v="117"/>
    <n v="0"/>
    <n v="117"/>
    <n v="113237.28"/>
    <s v="Excesso"/>
  </r>
  <r>
    <s v="6932D"/>
    <x v="4"/>
    <n v="682.72"/>
    <n v="244"/>
    <n v="94"/>
    <n v="150"/>
    <n v="102408"/>
    <s v="Excesso"/>
  </r>
  <r>
    <s v="8756C"/>
    <x v="4"/>
    <n v="418.89"/>
    <n v="196"/>
    <n v="132"/>
    <n v="64"/>
    <n v="26808.959999999999"/>
    <s v="OK"/>
  </r>
  <r>
    <s v="6580A"/>
    <x v="5"/>
    <n v="927.57"/>
    <n v="203"/>
    <n v="118"/>
    <n v="85"/>
    <n v="78843.45"/>
    <s v="OK"/>
  </r>
  <r>
    <s v="5262B"/>
    <x v="3"/>
    <n v="898.39"/>
    <n v="180"/>
    <n v="3"/>
    <n v="177"/>
    <n v="159015.03"/>
    <s v="Excesso"/>
  </r>
  <r>
    <s v="4259C"/>
    <x v="2"/>
    <n v="333.64"/>
    <n v="337"/>
    <n v="150"/>
    <n v="187"/>
    <n v="62390.68"/>
    <s v="Excesso"/>
  </r>
  <r>
    <s v="1534A"/>
    <x v="6"/>
    <n v="285.57"/>
    <n v="304"/>
    <n v="283"/>
    <n v="21"/>
    <n v="5996.97"/>
    <s v="OK"/>
  </r>
  <r>
    <s v="3321A"/>
    <x v="6"/>
    <n v="143.22"/>
    <n v="436"/>
    <n v="197"/>
    <n v="239"/>
    <n v="34229.58"/>
    <s v="Excesso"/>
  </r>
  <r>
    <s v="8023A"/>
    <x v="4"/>
    <n v="914.49"/>
    <n v="550"/>
    <n v="391"/>
    <n v="159"/>
    <n v="145403.91"/>
    <s v="Excesso"/>
  </r>
  <r>
    <s v="2443D"/>
    <x v="3"/>
    <n v="546.58000000000004"/>
    <n v="237"/>
    <n v="462"/>
    <n v="-225"/>
    <n v="-122980.50000000001"/>
    <s v="Estoque Negativo"/>
  </r>
  <r>
    <s v="6957A"/>
    <x v="1"/>
    <n v="551.52"/>
    <n v="313"/>
    <n v="23"/>
    <n v="290"/>
    <n v="159940.79999999999"/>
    <s v="Excesso"/>
  </r>
  <r>
    <s v="5766B"/>
    <x v="0"/>
    <n v="793.28"/>
    <n v="418"/>
    <n v="186"/>
    <n v="232"/>
    <n v="184040.95999999999"/>
    <s v="Excesso"/>
  </r>
  <r>
    <s v="9150D"/>
    <x v="5"/>
    <n v="479.4"/>
    <n v="414"/>
    <n v="66"/>
    <n v="348"/>
    <n v="166831.19999999998"/>
    <s v="Excess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FFA221-F633-40F3-9E11-BB8850CF3556}" name="Tabela dinâmica6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T3:U11" firstHeaderRow="1" firstDataRow="1" firstDataCol="1"/>
  <pivotFields count="8">
    <pivotField showAll="0"/>
    <pivotField axis="axisRow" showAll="0">
      <items count="8">
        <item x="3"/>
        <item x="6"/>
        <item x="0"/>
        <item x="5"/>
        <item x="4"/>
        <item x="2"/>
        <item x="1"/>
        <item t="default"/>
      </items>
    </pivotField>
    <pivotField dataField="1" numFmtId="164" showAll="0"/>
    <pivotField showAll="0"/>
    <pivotField showAll="0"/>
    <pivotField showAll="0"/>
    <pivotField numFmtId="164"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Média de Preço" fld="2" subtotal="average" baseField="1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1FE4BC-4046-441F-93AB-8CD4D2884C48}" name="Tabela dinâmica5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Q3:R11" firstHeaderRow="1" firstDataRow="1" firstDataCol="1"/>
  <pivotFields count="8">
    <pivotField showAll="0"/>
    <pivotField axis="axisRow" showAll="0">
      <items count="8">
        <item x="3"/>
        <item x="6"/>
        <item x="0"/>
        <item x="5"/>
        <item x="4"/>
        <item x="2"/>
        <item x="1"/>
        <item t="default"/>
      </items>
    </pivotField>
    <pivotField numFmtId="164" showAll="0"/>
    <pivotField showAll="0"/>
    <pivotField dataField="1" showAll="0"/>
    <pivotField showAll="0"/>
    <pivotField numFmtId="164"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Total de Saídas" fld="4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8A04B6-5C4C-4443-950B-C3376EB17F48}" name="Tabela dinâmica4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N3:O11" firstHeaderRow="1" firstDataRow="1" firstDataCol="1"/>
  <pivotFields count="8">
    <pivotField showAll="0"/>
    <pivotField axis="axisRow" showAll="0">
      <items count="8">
        <item x="3"/>
        <item x="6"/>
        <item x="0"/>
        <item x="5"/>
        <item x="4"/>
        <item x="2"/>
        <item x="1"/>
        <item t="default"/>
      </items>
    </pivotField>
    <pivotField numFmtId="164" showAll="0"/>
    <pivotField showAll="0"/>
    <pivotField showAll="0"/>
    <pivotField showAll="0"/>
    <pivotField dataField="1" numFmtId="164"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 em Estoque" fld="6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CAE45E-AE86-4F7E-B52C-61DE034C5D8B}" name="Tabela dinâmica1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 rowHeaderCaption="Categoria">
  <location ref="A3:E11" firstHeaderRow="0" firstDataRow="1" firstDataCol="1"/>
  <pivotFields count="8">
    <pivotField dataField="1" showAll="0"/>
    <pivotField axis="axisRow" showAll="0">
      <items count="8">
        <item x="3"/>
        <item x="6"/>
        <item x="0"/>
        <item x="5"/>
        <item x="4"/>
        <item x="2"/>
        <item x="1"/>
        <item t="default"/>
      </items>
    </pivotField>
    <pivotField dataField="1" numFmtId="164" showAll="0"/>
    <pivotField showAll="0"/>
    <pivotField dataField="1" showAll="0"/>
    <pivotField showAll="0"/>
    <pivotField dataField="1" numFmtId="164"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Valor do Estoque" fld="6" baseField="0" baseItem="0" numFmtId="164"/>
    <dataField name="Média de Preço" fld="2" subtotal="average" baseField="1" baseItem="0" numFmtId="164"/>
    <dataField name="Nº SKU" fld="0" subtotal="count" baseField="0" baseItem="0"/>
    <dataField name="Soma de Total de Saídas" fld="4" baseField="0" baseItem="0"/>
  </dataFields>
  <formats count="2">
    <format dxfId="4">
      <pivotArea field="1" type="button" dataOnly="0" labelOnly="1" outline="0" axis="axisRow" fieldPosition="0"/>
    </format>
    <format dxfId="5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opLeftCell="A68" workbookViewId="0">
      <selection activeCell="D83" sqref="D83"/>
    </sheetView>
  </sheetViews>
  <sheetFormatPr defaultColWidth="14.453125" defaultRowHeight="15" customHeight="1" x14ac:dyDescent="0.35"/>
  <cols>
    <col min="1" max="1" width="10.81640625" customWidth="1"/>
    <col min="2" max="2" width="6.7265625" customWidth="1"/>
    <col min="3" max="3" width="21" customWidth="1"/>
    <col min="4" max="4" width="11.453125" customWidth="1"/>
    <col min="5" max="26" width="8.7265625" customWidth="1"/>
  </cols>
  <sheetData>
    <row r="1" spans="1:4" ht="14.5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14.5" x14ac:dyDescent="0.35">
      <c r="A2" s="3">
        <v>45722</v>
      </c>
      <c r="B2" s="4" t="s">
        <v>4</v>
      </c>
      <c r="C2" s="4" t="s">
        <v>5</v>
      </c>
      <c r="D2" s="4">
        <v>30</v>
      </c>
    </row>
    <row r="3" spans="1:4" ht="14.5" x14ac:dyDescent="0.35">
      <c r="A3" s="3">
        <v>45728</v>
      </c>
      <c r="B3" s="4" t="s">
        <v>6</v>
      </c>
      <c r="C3" s="4" t="s">
        <v>5</v>
      </c>
      <c r="D3" s="4">
        <v>57</v>
      </c>
    </row>
    <row r="4" spans="1:4" ht="14.5" x14ac:dyDescent="0.35">
      <c r="A4" s="3">
        <v>45678</v>
      </c>
      <c r="B4" s="4" t="s">
        <v>7</v>
      </c>
      <c r="C4" s="4" t="s">
        <v>8</v>
      </c>
      <c r="D4" s="4">
        <v>20</v>
      </c>
    </row>
    <row r="5" spans="1:4" ht="14.5" x14ac:dyDescent="0.35">
      <c r="A5" s="3">
        <v>45667</v>
      </c>
      <c r="B5" s="4" t="s">
        <v>9</v>
      </c>
      <c r="C5" s="4" t="s">
        <v>8</v>
      </c>
      <c r="D5" s="4">
        <v>19</v>
      </c>
    </row>
    <row r="6" spans="1:4" ht="14.5" x14ac:dyDescent="0.35">
      <c r="A6" s="3">
        <v>45708</v>
      </c>
      <c r="B6" s="4" t="s">
        <v>10</v>
      </c>
      <c r="C6" s="4" t="s">
        <v>8</v>
      </c>
      <c r="D6" s="4">
        <v>127</v>
      </c>
    </row>
    <row r="7" spans="1:4" ht="14.5" x14ac:dyDescent="0.35">
      <c r="A7" s="3">
        <v>45692</v>
      </c>
      <c r="B7" s="4" t="s">
        <v>11</v>
      </c>
      <c r="C7" s="4" t="s">
        <v>5</v>
      </c>
      <c r="D7" s="4">
        <v>114</v>
      </c>
    </row>
    <row r="8" spans="1:4" ht="14.5" x14ac:dyDescent="0.35">
      <c r="A8" s="3">
        <v>45718</v>
      </c>
      <c r="B8" s="4" t="s">
        <v>12</v>
      </c>
      <c r="C8" s="4" t="s">
        <v>13</v>
      </c>
      <c r="D8" s="4">
        <v>46</v>
      </c>
    </row>
    <row r="9" spans="1:4" ht="14.5" x14ac:dyDescent="0.35">
      <c r="A9" s="3">
        <v>45732</v>
      </c>
      <c r="B9" s="4" t="s">
        <v>14</v>
      </c>
      <c r="C9" s="4" t="s">
        <v>8</v>
      </c>
      <c r="D9" s="4">
        <v>60</v>
      </c>
    </row>
    <row r="10" spans="1:4" ht="14.5" x14ac:dyDescent="0.35">
      <c r="A10" s="3">
        <v>45683</v>
      </c>
      <c r="B10" s="4" t="s">
        <v>15</v>
      </c>
      <c r="C10" s="4" t="s">
        <v>16</v>
      </c>
      <c r="D10" s="4">
        <v>2</v>
      </c>
    </row>
    <row r="11" spans="1:4" ht="14.5" x14ac:dyDescent="0.35">
      <c r="A11" s="3">
        <v>45673</v>
      </c>
      <c r="B11" s="4" t="s">
        <v>17</v>
      </c>
      <c r="C11" s="4" t="s">
        <v>16</v>
      </c>
      <c r="D11" s="4">
        <v>75</v>
      </c>
    </row>
    <row r="12" spans="1:4" ht="14.5" x14ac:dyDescent="0.35">
      <c r="A12" s="3">
        <v>45677</v>
      </c>
      <c r="B12" s="4" t="s">
        <v>18</v>
      </c>
      <c r="C12" s="4" t="s">
        <v>13</v>
      </c>
      <c r="D12" s="4">
        <v>3</v>
      </c>
    </row>
    <row r="13" spans="1:4" ht="14.5" x14ac:dyDescent="0.35">
      <c r="A13" s="3">
        <v>45661</v>
      </c>
      <c r="B13" s="4" t="s">
        <v>19</v>
      </c>
      <c r="C13" s="4" t="s">
        <v>20</v>
      </c>
      <c r="D13" s="4">
        <v>113</v>
      </c>
    </row>
    <row r="14" spans="1:4" ht="14.5" x14ac:dyDescent="0.35">
      <c r="A14" s="3">
        <v>45722</v>
      </c>
      <c r="B14" s="4" t="s">
        <v>21</v>
      </c>
      <c r="C14" s="4" t="s">
        <v>22</v>
      </c>
      <c r="D14" s="4">
        <v>34</v>
      </c>
    </row>
    <row r="15" spans="1:4" ht="14.5" x14ac:dyDescent="0.35">
      <c r="A15" s="3">
        <v>45715</v>
      </c>
      <c r="B15" s="4" t="s">
        <v>23</v>
      </c>
      <c r="C15" s="4" t="s">
        <v>24</v>
      </c>
      <c r="D15" s="4">
        <v>56</v>
      </c>
    </row>
    <row r="16" spans="1:4" ht="14.5" x14ac:dyDescent="0.35">
      <c r="A16" s="3">
        <v>45703</v>
      </c>
      <c r="B16" s="4" t="s">
        <v>25</v>
      </c>
      <c r="C16" s="4" t="s">
        <v>26</v>
      </c>
      <c r="D16" s="4">
        <v>104</v>
      </c>
    </row>
    <row r="17" spans="1:4" ht="14.5" x14ac:dyDescent="0.35">
      <c r="A17" s="3">
        <v>45711</v>
      </c>
      <c r="B17" s="4" t="s">
        <v>27</v>
      </c>
      <c r="C17" s="4" t="s">
        <v>28</v>
      </c>
      <c r="D17" s="4">
        <v>60</v>
      </c>
    </row>
    <row r="18" spans="1:4" ht="14.5" x14ac:dyDescent="0.35">
      <c r="A18" s="3">
        <v>45691</v>
      </c>
      <c r="B18" s="4" t="s">
        <v>29</v>
      </c>
      <c r="C18" s="4" t="s">
        <v>16</v>
      </c>
      <c r="D18" s="4">
        <v>130</v>
      </c>
    </row>
    <row r="19" spans="1:4" ht="14.5" x14ac:dyDescent="0.35">
      <c r="A19" s="3">
        <v>45685</v>
      </c>
      <c r="B19" s="4" t="s">
        <v>30</v>
      </c>
      <c r="C19" s="4" t="s">
        <v>31</v>
      </c>
      <c r="D19" s="4">
        <v>147</v>
      </c>
    </row>
    <row r="20" spans="1:4" ht="14.5" x14ac:dyDescent="0.35">
      <c r="A20" s="3">
        <v>45693</v>
      </c>
      <c r="B20" s="4" t="s">
        <v>32</v>
      </c>
      <c r="C20" s="4" t="s">
        <v>22</v>
      </c>
      <c r="D20" s="4">
        <v>36</v>
      </c>
    </row>
    <row r="21" spans="1:4" ht="15.75" customHeight="1" x14ac:dyDescent="0.35">
      <c r="A21" s="3">
        <v>45734</v>
      </c>
      <c r="B21" s="4" t="s">
        <v>33</v>
      </c>
      <c r="C21" s="4" t="s">
        <v>28</v>
      </c>
      <c r="D21" s="4">
        <v>58</v>
      </c>
    </row>
    <row r="22" spans="1:4" ht="15.75" customHeight="1" x14ac:dyDescent="0.35">
      <c r="A22" s="3">
        <v>45690</v>
      </c>
      <c r="B22" s="4" t="s">
        <v>34</v>
      </c>
      <c r="C22" s="4" t="s">
        <v>28</v>
      </c>
      <c r="D22" s="4">
        <v>7</v>
      </c>
    </row>
    <row r="23" spans="1:4" ht="15.75" customHeight="1" x14ac:dyDescent="0.35">
      <c r="A23" s="3">
        <v>45742</v>
      </c>
      <c r="B23" s="4" t="s">
        <v>35</v>
      </c>
      <c r="C23" s="4" t="s">
        <v>8</v>
      </c>
      <c r="D23" s="4">
        <v>39</v>
      </c>
    </row>
    <row r="24" spans="1:4" ht="15.75" customHeight="1" x14ac:dyDescent="0.35">
      <c r="A24" s="3">
        <v>45666</v>
      </c>
      <c r="B24" s="4" t="s">
        <v>36</v>
      </c>
      <c r="C24" s="4" t="s">
        <v>22</v>
      </c>
      <c r="D24" s="4">
        <v>148</v>
      </c>
    </row>
    <row r="25" spans="1:4" ht="15.75" customHeight="1" x14ac:dyDescent="0.35">
      <c r="A25" s="3">
        <v>45664</v>
      </c>
      <c r="B25" s="4" t="s">
        <v>37</v>
      </c>
      <c r="C25" s="4" t="s">
        <v>8</v>
      </c>
      <c r="D25" s="4">
        <v>95</v>
      </c>
    </row>
    <row r="26" spans="1:4" ht="15.75" customHeight="1" x14ac:dyDescent="0.35">
      <c r="A26" s="3">
        <v>45736</v>
      </c>
      <c r="B26" s="4" t="s">
        <v>38</v>
      </c>
      <c r="C26" s="4" t="s">
        <v>39</v>
      </c>
      <c r="D26" s="4">
        <v>111</v>
      </c>
    </row>
    <row r="27" spans="1:4" ht="15.75" customHeight="1" x14ac:dyDescent="0.35">
      <c r="A27" s="3">
        <v>45730</v>
      </c>
      <c r="B27" s="4" t="s">
        <v>40</v>
      </c>
      <c r="C27" s="4" t="s">
        <v>41</v>
      </c>
      <c r="D27" s="4">
        <v>92</v>
      </c>
    </row>
    <row r="28" spans="1:4" ht="15.75" customHeight="1" x14ac:dyDescent="0.35">
      <c r="A28" s="3">
        <v>45694</v>
      </c>
      <c r="B28" s="4" t="s">
        <v>42</v>
      </c>
      <c r="C28" s="4" t="s">
        <v>24</v>
      </c>
      <c r="D28" s="4">
        <v>75</v>
      </c>
    </row>
    <row r="29" spans="1:4" ht="15.75" customHeight="1" x14ac:dyDescent="0.35">
      <c r="A29" s="3">
        <v>45694</v>
      </c>
      <c r="B29" s="4" t="s">
        <v>43</v>
      </c>
      <c r="C29" s="4" t="s">
        <v>16</v>
      </c>
      <c r="D29" s="4">
        <v>135</v>
      </c>
    </row>
    <row r="30" spans="1:4" ht="15.75" customHeight="1" x14ac:dyDescent="0.35">
      <c r="A30" s="3">
        <v>45667</v>
      </c>
      <c r="B30" s="4" t="s">
        <v>44</v>
      </c>
      <c r="C30" s="4" t="s">
        <v>20</v>
      </c>
      <c r="D30" s="4">
        <v>115</v>
      </c>
    </row>
    <row r="31" spans="1:4" ht="15.75" customHeight="1" x14ac:dyDescent="0.35">
      <c r="A31" s="3">
        <v>45739</v>
      </c>
      <c r="B31" s="4" t="s">
        <v>45</v>
      </c>
      <c r="C31" s="4" t="s">
        <v>24</v>
      </c>
      <c r="D31" s="4">
        <v>121</v>
      </c>
    </row>
    <row r="32" spans="1:4" ht="15.75" customHeight="1" x14ac:dyDescent="0.35">
      <c r="A32" s="3">
        <v>45717</v>
      </c>
      <c r="B32" s="4" t="s">
        <v>46</v>
      </c>
      <c r="C32" s="4" t="s">
        <v>20</v>
      </c>
      <c r="D32" s="4">
        <v>116</v>
      </c>
    </row>
    <row r="33" spans="1:4" ht="15.75" customHeight="1" x14ac:dyDescent="0.35">
      <c r="A33" s="3">
        <v>45728</v>
      </c>
      <c r="B33" s="4" t="s">
        <v>47</v>
      </c>
      <c r="C33" s="4" t="s">
        <v>22</v>
      </c>
      <c r="D33" s="4">
        <v>45</v>
      </c>
    </row>
    <row r="34" spans="1:4" ht="15.75" customHeight="1" x14ac:dyDescent="0.35">
      <c r="A34" s="3">
        <v>45704</v>
      </c>
      <c r="B34" s="4" t="s">
        <v>21</v>
      </c>
      <c r="C34" s="4" t="s">
        <v>22</v>
      </c>
      <c r="D34" s="4">
        <v>145</v>
      </c>
    </row>
    <row r="35" spans="1:4" ht="15.75" customHeight="1" x14ac:dyDescent="0.35">
      <c r="A35" s="3">
        <v>45671</v>
      </c>
      <c r="B35" s="4" t="s">
        <v>33</v>
      </c>
      <c r="C35" s="4" t="s">
        <v>28</v>
      </c>
      <c r="D35" s="4">
        <v>105</v>
      </c>
    </row>
    <row r="36" spans="1:4" ht="15.75" customHeight="1" x14ac:dyDescent="0.35">
      <c r="A36" s="3">
        <v>45697</v>
      </c>
      <c r="B36" s="4" t="s">
        <v>48</v>
      </c>
      <c r="C36" s="4" t="s">
        <v>22</v>
      </c>
      <c r="D36" s="4">
        <v>71</v>
      </c>
    </row>
    <row r="37" spans="1:4" ht="15.75" customHeight="1" x14ac:dyDescent="0.35">
      <c r="A37" s="3">
        <v>45738</v>
      </c>
      <c r="B37" s="4" t="s">
        <v>49</v>
      </c>
      <c r="C37" s="4" t="s">
        <v>50</v>
      </c>
      <c r="D37" s="4">
        <v>17</v>
      </c>
    </row>
    <row r="38" spans="1:4" ht="15.75" customHeight="1" x14ac:dyDescent="0.35">
      <c r="A38" s="3">
        <v>45687</v>
      </c>
      <c r="B38" s="4" t="s">
        <v>51</v>
      </c>
      <c r="C38" s="4" t="s">
        <v>52</v>
      </c>
      <c r="D38" s="4">
        <v>59</v>
      </c>
    </row>
    <row r="39" spans="1:4" ht="15.75" customHeight="1" x14ac:dyDescent="0.35">
      <c r="A39" s="3">
        <v>45670</v>
      </c>
      <c r="B39" s="4" t="s">
        <v>53</v>
      </c>
      <c r="C39" s="4" t="s">
        <v>50</v>
      </c>
      <c r="D39" s="4">
        <v>52</v>
      </c>
    </row>
    <row r="40" spans="1:4" ht="15.75" customHeight="1" x14ac:dyDescent="0.35">
      <c r="A40" s="3">
        <v>45705</v>
      </c>
      <c r="B40" s="4" t="s">
        <v>54</v>
      </c>
      <c r="C40" s="4" t="s">
        <v>22</v>
      </c>
      <c r="D40" s="4">
        <v>114</v>
      </c>
    </row>
    <row r="41" spans="1:4" ht="15.75" customHeight="1" x14ac:dyDescent="0.35">
      <c r="A41" s="3">
        <v>45723</v>
      </c>
      <c r="B41" s="4" t="s">
        <v>55</v>
      </c>
      <c r="C41" s="4" t="s">
        <v>24</v>
      </c>
      <c r="D41" s="4">
        <v>17</v>
      </c>
    </row>
    <row r="42" spans="1:4" ht="15.75" customHeight="1" x14ac:dyDescent="0.35">
      <c r="A42" s="3">
        <v>45733</v>
      </c>
      <c r="B42" s="4" t="s">
        <v>56</v>
      </c>
      <c r="C42" s="4" t="s">
        <v>5</v>
      </c>
      <c r="D42" s="4">
        <v>39</v>
      </c>
    </row>
    <row r="43" spans="1:4" ht="15.75" customHeight="1" x14ac:dyDescent="0.35">
      <c r="A43" s="3">
        <v>45682</v>
      </c>
      <c r="B43" s="4" t="s">
        <v>12</v>
      </c>
      <c r="C43" s="4" t="s">
        <v>13</v>
      </c>
      <c r="D43" s="4">
        <v>142</v>
      </c>
    </row>
    <row r="44" spans="1:4" ht="15.75" customHeight="1" x14ac:dyDescent="0.35">
      <c r="A44" s="3">
        <v>45724</v>
      </c>
      <c r="B44" s="4" t="s">
        <v>57</v>
      </c>
      <c r="C44" s="4" t="s">
        <v>8</v>
      </c>
      <c r="D44" s="4">
        <v>120</v>
      </c>
    </row>
    <row r="45" spans="1:4" ht="15.75" customHeight="1" x14ac:dyDescent="0.35">
      <c r="A45" s="3">
        <v>45732</v>
      </c>
      <c r="B45" s="4" t="s">
        <v>40</v>
      </c>
      <c r="C45" s="4" t="s">
        <v>41</v>
      </c>
      <c r="D45" s="4">
        <v>111</v>
      </c>
    </row>
    <row r="46" spans="1:4" ht="15.75" customHeight="1" x14ac:dyDescent="0.35">
      <c r="A46" s="3">
        <v>45691</v>
      </c>
      <c r="B46" s="4" t="s">
        <v>58</v>
      </c>
      <c r="C46" s="4" t="s">
        <v>24</v>
      </c>
      <c r="D46" s="4">
        <v>48</v>
      </c>
    </row>
    <row r="47" spans="1:4" ht="15.75" customHeight="1" x14ac:dyDescent="0.35">
      <c r="A47" s="3">
        <v>45723</v>
      </c>
      <c r="B47" s="4" t="s">
        <v>11</v>
      </c>
      <c r="C47" s="4" t="s">
        <v>5</v>
      </c>
      <c r="D47" s="4">
        <v>87</v>
      </c>
    </row>
    <row r="48" spans="1:4" ht="15.75" customHeight="1" x14ac:dyDescent="0.35">
      <c r="A48" s="3">
        <v>45732</v>
      </c>
      <c r="B48" s="4" t="s">
        <v>57</v>
      </c>
      <c r="C48" s="4" t="s">
        <v>8</v>
      </c>
      <c r="D48" s="4">
        <v>42</v>
      </c>
    </row>
    <row r="49" spans="1:4" ht="15.75" customHeight="1" x14ac:dyDescent="0.35">
      <c r="A49" s="3">
        <v>45667</v>
      </c>
      <c r="B49" s="4" t="s">
        <v>59</v>
      </c>
      <c r="C49" s="4" t="s">
        <v>16</v>
      </c>
      <c r="D49" s="4">
        <v>87</v>
      </c>
    </row>
    <row r="50" spans="1:4" ht="15.75" customHeight="1" x14ac:dyDescent="0.35">
      <c r="A50" s="3">
        <v>45718</v>
      </c>
      <c r="B50" s="4" t="s">
        <v>53</v>
      </c>
      <c r="C50" s="4" t="s">
        <v>50</v>
      </c>
      <c r="D50" s="4">
        <v>73</v>
      </c>
    </row>
    <row r="51" spans="1:4" ht="15.75" customHeight="1" x14ac:dyDescent="0.35">
      <c r="A51" s="3">
        <v>45711</v>
      </c>
      <c r="B51" s="4" t="s">
        <v>60</v>
      </c>
      <c r="C51" s="4" t="s">
        <v>24</v>
      </c>
      <c r="D51" s="4">
        <v>63</v>
      </c>
    </row>
    <row r="52" spans="1:4" ht="15.75" customHeight="1" x14ac:dyDescent="0.35">
      <c r="A52" s="3">
        <v>45733</v>
      </c>
      <c r="B52" s="4" t="s">
        <v>57</v>
      </c>
      <c r="C52" s="4" t="s">
        <v>8</v>
      </c>
      <c r="D52" s="4">
        <v>98</v>
      </c>
    </row>
    <row r="53" spans="1:4" ht="15.75" customHeight="1" x14ac:dyDescent="0.35">
      <c r="A53" s="3">
        <v>45665</v>
      </c>
      <c r="B53" s="4" t="s">
        <v>61</v>
      </c>
      <c r="C53" s="4" t="s">
        <v>62</v>
      </c>
      <c r="D53" s="4">
        <v>49</v>
      </c>
    </row>
    <row r="54" spans="1:4" ht="15.75" customHeight="1" x14ac:dyDescent="0.35">
      <c r="A54" s="3">
        <v>45709</v>
      </c>
      <c r="B54" s="4" t="s">
        <v>38</v>
      </c>
      <c r="C54" s="4" t="s">
        <v>39</v>
      </c>
      <c r="D54" s="4">
        <v>110</v>
      </c>
    </row>
    <row r="55" spans="1:4" ht="15.75" customHeight="1" x14ac:dyDescent="0.35">
      <c r="A55" s="3">
        <v>45671</v>
      </c>
      <c r="B55" s="4" t="s">
        <v>63</v>
      </c>
      <c r="C55" s="4" t="s">
        <v>26</v>
      </c>
      <c r="D55" s="4">
        <v>47</v>
      </c>
    </row>
    <row r="56" spans="1:4" ht="15.75" customHeight="1" x14ac:dyDescent="0.35">
      <c r="A56" s="3">
        <v>45707</v>
      </c>
      <c r="B56" s="4" t="s">
        <v>34</v>
      </c>
      <c r="C56" s="4" t="s">
        <v>28</v>
      </c>
      <c r="D56" s="4">
        <v>19</v>
      </c>
    </row>
    <row r="57" spans="1:4" ht="15.75" customHeight="1" x14ac:dyDescent="0.35">
      <c r="A57" s="3">
        <v>45718</v>
      </c>
      <c r="B57" s="4" t="s">
        <v>63</v>
      </c>
      <c r="C57" s="4" t="s">
        <v>26</v>
      </c>
      <c r="D57" s="4">
        <v>8</v>
      </c>
    </row>
    <row r="58" spans="1:4" ht="15.75" customHeight="1" x14ac:dyDescent="0.35">
      <c r="A58" s="3">
        <v>45690</v>
      </c>
      <c r="B58" s="4" t="s">
        <v>64</v>
      </c>
      <c r="C58" s="4" t="s">
        <v>41</v>
      </c>
      <c r="D58" s="4">
        <v>66</v>
      </c>
    </row>
    <row r="59" spans="1:4" ht="15.75" customHeight="1" x14ac:dyDescent="0.35">
      <c r="A59" s="3">
        <v>45666</v>
      </c>
      <c r="B59" s="4" t="s">
        <v>55</v>
      </c>
      <c r="C59" s="4" t="s">
        <v>24</v>
      </c>
      <c r="D59" s="4">
        <v>49</v>
      </c>
    </row>
    <row r="60" spans="1:4" ht="15.75" customHeight="1" x14ac:dyDescent="0.35">
      <c r="A60" s="3">
        <v>45742</v>
      </c>
      <c r="B60" s="4" t="s">
        <v>65</v>
      </c>
      <c r="C60" s="4" t="s">
        <v>5</v>
      </c>
      <c r="D60" s="4">
        <v>147</v>
      </c>
    </row>
    <row r="61" spans="1:4" ht="15.75" customHeight="1" x14ac:dyDescent="0.35">
      <c r="A61" s="3">
        <v>45679</v>
      </c>
      <c r="B61" s="4" t="s">
        <v>35</v>
      </c>
      <c r="C61" s="4" t="s">
        <v>8</v>
      </c>
      <c r="D61" s="4">
        <v>19</v>
      </c>
    </row>
    <row r="62" spans="1:4" ht="15.75" customHeight="1" x14ac:dyDescent="0.35">
      <c r="A62" s="3">
        <v>45705</v>
      </c>
      <c r="B62" s="4" t="s">
        <v>66</v>
      </c>
      <c r="C62" s="4" t="s">
        <v>52</v>
      </c>
      <c r="D62" s="4">
        <v>126</v>
      </c>
    </row>
    <row r="63" spans="1:4" ht="15.75" customHeight="1" x14ac:dyDescent="0.35">
      <c r="A63" s="3">
        <v>45721</v>
      </c>
      <c r="B63" s="4" t="s">
        <v>67</v>
      </c>
      <c r="C63" s="4" t="s">
        <v>39</v>
      </c>
      <c r="D63" s="4">
        <v>77</v>
      </c>
    </row>
    <row r="64" spans="1:4" ht="15.75" customHeight="1" x14ac:dyDescent="0.35">
      <c r="A64" s="3">
        <v>45689</v>
      </c>
      <c r="B64" s="4" t="s">
        <v>17</v>
      </c>
      <c r="C64" s="4" t="s">
        <v>16</v>
      </c>
      <c r="D64" s="4">
        <v>118</v>
      </c>
    </row>
    <row r="65" spans="1:4" ht="15.75" customHeight="1" x14ac:dyDescent="0.35">
      <c r="A65" s="3">
        <v>45699</v>
      </c>
      <c r="B65" s="4" t="s">
        <v>68</v>
      </c>
      <c r="C65" s="4" t="s">
        <v>62</v>
      </c>
      <c r="D65" s="4">
        <v>98</v>
      </c>
    </row>
    <row r="66" spans="1:4" ht="15.75" customHeight="1" x14ac:dyDescent="0.35">
      <c r="A66" s="3">
        <v>45682</v>
      </c>
      <c r="B66" s="4" t="s">
        <v>48</v>
      </c>
      <c r="C66" s="4" t="s">
        <v>22</v>
      </c>
      <c r="D66" s="4">
        <v>13</v>
      </c>
    </row>
    <row r="67" spans="1:4" ht="15.75" customHeight="1" x14ac:dyDescent="0.35">
      <c r="A67" s="3">
        <v>45703</v>
      </c>
      <c r="B67" s="4" t="s">
        <v>69</v>
      </c>
      <c r="C67" s="4" t="s">
        <v>24</v>
      </c>
      <c r="D67" s="4">
        <v>55</v>
      </c>
    </row>
    <row r="68" spans="1:4" ht="15.75" customHeight="1" x14ac:dyDescent="0.35">
      <c r="A68" s="3">
        <v>45665</v>
      </c>
      <c r="B68" s="4" t="s">
        <v>69</v>
      </c>
      <c r="C68" s="4" t="s">
        <v>24</v>
      </c>
      <c r="D68" s="4">
        <v>8</v>
      </c>
    </row>
    <row r="69" spans="1:4" ht="15.75" customHeight="1" x14ac:dyDescent="0.35">
      <c r="A69" s="3">
        <v>45665</v>
      </c>
      <c r="B69" s="4" t="s">
        <v>70</v>
      </c>
      <c r="C69" s="4" t="s">
        <v>52</v>
      </c>
      <c r="D69" s="4">
        <v>149</v>
      </c>
    </row>
    <row r="70" spans="1:4" ht="15.75" customHeight="1" x14ac:dyDescent="0.35">
      <c r="A70" s="3">
        <v>45713</v>
      </c>
      <c r="B70" s="4" t="s">
        <v>60</v>
      </c>
      <c r="C70" s="4" t="s">
        <v>24</v>
      </c>
      <c r="D70" s="4">
        <v>138</v>
      </c>
    </row>
    <row r="71" spans="1:4" ht="15.75" customHeight="1" x14ac:dyDescent="0.35">
      <c r="A71" s="3">
        <v>45671</v>
      </c>
      <c r="B71" s="4" t="s">
        <v>71</v>
      </c>
      <c r="C71" s="4" t="s">
        <v>20</v>
      </c>
      <c r="D71" s="4">
        <v>69</v>
      </c>
    </row>
    <row r="72" spans="1:4" ht="15.75" customHeight="1" x14ac:dyDescent="0.35">
      <c r="A72" s="3">
        <v>45715</v>
      </c>
      <c r="B72" s="4" t="s">
        <v>18</v>
      </c>
      <c r="C72" s="4" t="s">
        <v>13</v>
      </c>
      <c r="D72" s="4">
        <v>122</v>
      </c>
    </row>
    <row r="73" spans="1:4" ht="15.75" customHeight="1" x14ac:dyDescent="0.35">
      <c r="A73" s="3">
        <v>45662</v>
      </c>
      <c r="B73" s="4" t="s">
        <v>72</v>
      </c>
      <c r="C73" s="4" t="s">
        <v>13</v>
      </c>
      <c r="D73" s="4">
        <v>74</v>
      </c>
    </row>
    <row r="74" spans="1:4" ht="15.75" customHeight="1" x14ac:dyDescent="0.35">
      <c r="A74" s="3">
        <v>45738</v>
      </c>
      <c r="B74" s="4" t="s">
        <v>73</v>
      </c>
      <c r="C74" s="4" t="s">
        <v>13</v>
      </c>
      <c r="D74" s="4">
        <v>35</v>
      </c>
    </row>
    <row r="75" spans="1:4" ht="15.75" customHeight="1" x14ac:dyDescent="0.35">
      <c r="A75" s="3">
        <v>45666</v>
      </c>
      <c r="B75" s="4" t="s">
        <v>74</v>
      </c>
      <c r="C75" s="4" t="s">
        <v>75</v>
      </c>
      <c r="D75" s="4">
        <v>8</v>
      </c>
    </row>
    <row r="76" spans="1:4" ht="15.75" customHeight="1" x14ac:dyDescent="0.35">
      <c r="A76" s="3">
        <v>45695</v>
      </c>
      <c r="B76" s="4" t="s">
        <v>76</v>
      </c>
      <c r="C76" s="4" t="s">
        <v>22</v>
      </c>
      <c r="D76" s="4">
        <v>86</v>
      </c>
    </row>
    <row r="77" spans="1:4" ht="15.75" customHeight="1" x14ac:dyDescent="0.35">
      <c r="A77" s="3">
        <v>45697</v>
      </c>
      <c r="B77" s="4" t="s">
        <v>12</v>
      </c>
      <c r="C77" s="4" t="s">
        <v>13</v>
      </c>
      <c r="D77" s="4">
        <v>32</v>
      </c>
    </row>
    <row r="78" spans="1:4" ht="15.75" customHeight="1" x14ac:dyDescent="0.35">
      <c r="A78" s="3">
        <v>45734</v>
      </c>
      <c r="B78" s="4" t="s">
        <v>23</v>
      </c>
      <c r="C78" s="4" t="s">
        <v>24</v>
      </c>
      <c r="D78" s="4">
        <v>82</v>
      </c>
    </row>
    <row r="79" spans="1:4" ht="15.75" customHeight="1" x14ac:dyDescent="0.35">
      <c r="A79" s="3">
        <v>45742</v>
      </c>
      <c r="B79" s="4" t="s">
        <v>51</v>
      </c>
      <c r="C79" s="4" t="s">
        <v>52</v>
      </c>
      <c r="D79" s="4">
        <v>91</v>
      </c>
    </row>
    <row r="80" spans="1:4" ht="15.75" customHeight="1" x14ac:dyDescent="0.35">
      <c r="A80" s="3">
        <v>45714</v>
      </c>
      <c r="B80" s="4" t="s">
        <v>77</v>
      </c>
      <c r="C80" s="4" t="s">
        <v>50</v>
      </c>
      <c r="D80" s="4">
        <v>149</v>
      </c>
    </row>
    <row r="81" spans="1:4" ht="15.75" customHeight="1" x14ac:dyDescent="0.35">
      <c r="A81" s="3">
        <v>45730</v>
      </c>
      <c r="B81" s="4" t="s">
        <v>44</v>
      </c>
      <c r="C81" s="4" t="s">
        <v>20</v>
      </c>
      <c r="D81" s="4">
        <v>58</v>
      </c>
    </row>
    <row r="82" spans="1:4" ht="15.75" customHeight="1" x14ac:dyDescent="0.35">
      <c r="A82" s="3">
        <v>45716</v>
      </c>
      <c r="B82" s="4" t="s">
        <v>78</v>
      </c>
      <c r="C82" s="4" t="s">
        <v>79</v>
      </c>
      <c r="D82" s="4">
        <v>23</v>
      </c>
    </row>
    <row r="83" spans="1:4" ht="15.75" customHeight="1" x14ac:dyDescent="0.35">
      <c r="A83" s="3">
        <v>45701</v>
      </c>
      <c r="B83" s="4" t="s">
        <v>80</v>
      </c>
      <c r="C83" s="4" t="s">
        <v>22</v>
      </c>
      <c r="D83" s="4">
        <v>11</v>
      </c>
    </row>
    <row r="84" spans="1:4" ht="15.75" customHeight="1" x14ac:dyDescent="0.35">
      <c r="A84" s="3">
        <v>45666</v>
      </c>
      <c r="B84" s="4" t="s">
        <v>76</v>
      </c>
      <c r="C84" s="4" t="s">
        <v>22</v>
      </c>
      <c r="D84" s="4">
        <v>31</v>
      </c>
    </row>
    <row r="85" spans="1:4" ht="15.75" customHeight="1" x14ac:dyDescent="0.35">
      <c r="A85" s="3">
        <v>45702</v>
      </c>
      <c r="B85" s="4" t="s">
        <v>4</v>
      </c>
      <c r="C85" s="4" t="s">
        <v>5</v>
      </c>
      <c r="D85" s="4">
        <v>11</v>
      </c>
    </row>
    <row r="86" spans="1:4" ht="15.75" customHeight="1" x14ac:dyDescent="0.35">
      <c r="A86" s="3">
        <v>45663</v>
      </c>
      <c r="B86" s="4" t="s">
        <v>61</v>
      </c>
      <c r="C86" s="4" t="s">
        <v>62</v>
      </c>
      <c r="D86" s="4">
        <v>127</v>
      </c>
    </row>
    <row r="87" spans="1:4" ht="15.75" customHeight="1" x14ac:dyDescent="0.35">
      <c r="A87" s="3">
        <v>45657</v>
      </c>
      <c r="B87" s="4" t="s">
        <v>81</v>
      </c>
      <c r="C87" s="4" t="s">
        <v>82</v>
      </c>
      <c r="D87" s="4">
        <v>115</v>
      </c>
    </row>
    <row r="88" spans="1:4" ht="15.75" customHeight="1" x14ac:dyDescent="0.35">
      <c r="A88" s="3">
        <v>45726</v>
      </c>
      <c r="B88" s="4" t="s">
        <v>83</v>
      </c>
      <c r="C88" s="4" t="s">
        <v>5</v>
      </c>
      <c r="D88" s="4">
        <v>113</v>
      </c>
    </row>
    <row r="89" spans="1:4" ht="15.75" customHeight="1" x14ac:dyDescent="0.35">
      <c r="A89" s="3">
        <v>45683</v>
      </c>
      <c r="B89" s="4" t="s">
        <v>84</v>
      </c>
      <c r="C89" s="4" t="s">
        <v>85</v>
      </c>
      <c r="D89" s="4">
        <v>67</v>
      </c>
    </row>
    <row r="90" spans="1:4" ht="15.75" customHeight="1" x14ac:dyDescent="0.35">
      <c r="A90" s="3">
        <v>45674</v>
      </c>
      <c r="B90" s="4" t="s">
        <v>49</v>
      </c>
      <c r="C90" s="4" t="s">
        <v>50</v>
      </c>
      <c r="D90" s="4">
        <v>97</v>
      </c>
    </row>
    <row r="91" spans="1:4" ht="15.75" customHeight="1" x14ac:dyDescent="0.35">
      <c r="A91" s="3">
        <v>45704</v>
      </c>
      <c r="B91" s="4" t="s">
        <v>86</v>
      </c>
      <c r="C91" s="4" t="s">
        <v>26</v>
      </c>
      <c r="D91" s="4">
        <v>31</v>
      </c>
    </row>
    <row r="92" spans="1:4" ht="15.75" customHeight="1" x14ac:dyDescent="0.35">
      <c r="A92" s="3">
        <v>45701</v>
      </c>
      <c r="B92" s="4" t="s">
        <v>87</v>
      </c>
      <c r="C92" s="4" t="s">
        <v>39</v>
      </c>
      <c r="D92" s="4">
        <v>126</v>
      </c>
    </row>
    <row r="93" spans="1:4" ht="15.75" customHeight="1" x14ac:dyDescent="0.35">
      <c r="A93" s="3">
        <v>45661</v>
      </c>
      <c r="B93" s="4" t="s">
        <v>88</v>
      </c>
      <c r="C93" s="4" t="s">
        <v>75</v>
      </c>
      <c r="D93" s="4">
        <v>145</v>
      </c>
    </row>
    <row r="94" spans="1:4" ht="15.75" customHeight="1" x14ac:dyDescent="0.35">
      <c r="A94" s="3">
        <v>45746</v>
      </c>
      <c r="B94" s="4" t="s">
        <v>89</v>
      </c>
      <c r="C94" s="4" t="s">
        <v>79</v>
      </c>
      <c r="D94" s="4">
        <v>1</v>
      </c>
    </row>
    <row r="95" spans="1:4" ht="15.75" customHeight="1" x14ac:dyDescent="0.35">
      <c r="A95" s="3">
        <v>45712</v>
      </c>
      <c r="B95" s="4" t="s">
        <v>90</v>
      </c>
      <c r="C95" s="4" t="s">
        <v>39</v>
      </c>
      <c r="D95" s="4">
        <v>134</v>
      </c>
    </row>
    <row r="96" spans="1:4" ht="15.75" customHeight="1" x14ac:dyDescent="0.35">
      <c r="A96" s="3">
        <v>45677</v>
      </c>
      <c r="B96" s="4" t="s">
        <v>91</v>
      </c>
      <c r="C96" s="4" t="s">
        <v>26</v>
      </c>
      <c r="D96" s="4">
        <v>93</v>
      </c>
    </row>
    <row r="97" spans="1:4" ht="15.75" customHeight="1" x14ac:dyDescent="0.35">
      <c r="A97" s="3">
        <v>45682</v>
      </c>
      <c r="B97" s="4" t="s">
        <v>56</v>
      </c>
      <c r="C97" s="4" t="s">
        <v>5</v>
      </c>
      <c r="D97" s="4">
        <v>61</v>
      </c>
    </row>
    <row r="98" spans="1:4" ht="15.75" customHeight="1" x14ac:dyDescent="0.35">
      <c r="A98" s="3">
        <v>45710</v>
      </c>
      <c r="B98" s="4" t="s">
        <v>92</v>
      </c>
      <c r="C98" s="4" t="s">
        <v>82</v>
      </c>
      <c r="D98" s="4">
        <v>104</v>
      </c>
    </row>
    <row r="99" spans="1:4" ht="15.75" customHeight="1" x14ac:dyDescent="0.35">
      <c r="A99" s="3">
        <v>45690</v>
      </c>
      <c r="B99" s="4" t="s">
        <v>93</v>
      </c>
      <c r="C99" s="4" t="s">
        <v>82</v>
      </c>
      <c r="D99" s="4">
        <v>137</v>
      </c>
    </row>
    <row r="100" spans="1:4" ht="15.75" customHeight="1" x14ac:dyDescent="0.35">
      <c r="A100" s="3">
        <v>45730</v>
      </c>
      <c r="B100" s="4" t="s">
        <v>49</v>
      </c>
      <c r="C100" s="4" t="s">
        <v>50</v>
      </c>
      <c r="D100" s="4">
        <v>95</v>
      </c>
    </row>
    <row r="101" spans="1:4" ht="15.75" customHeight="1" x14ac:dyDescent="0.35">
      <c r="A101" s="3">
        <v>45659</v>
      </c>
      <c r="B101" s="4" t="s">
        <v>94</v>
      </c>
      <c r="C101" s="4" t="s">
        <v>52</v>
      </c>
      <c r="D101" s="4">
        <v>30</v>
      </c>
    </row>
    <row r="102" spans="1:4" ht="15.75" customHeight="1" x14ac:dyDescent="0.35">
      <c r="A102" s="3">
        <v>45732</v>
      </c>
      <c r="B102" s="4" t="s">
        <v>42</v>
      </c>
      <c r="C102" s="4" t="s">
        <v>24</v>
      </c>
      <c r="D102" s="4">
        <v>65</v>
      </c>
    </row>
    <row r="103" spans="1:4" ht="15.75" customHeight="1" x14ac:dyDescent="0.35">
      <c r="A103" s="3">
        <v>45699</v>
      </c>
      <c r="B103" s="4" t="s">
        <v>95</v>
      </c>
      <c r="C103" s="4" t="s">
        <v>39</v>
      </c>
      <c r="D103" s="4">
        <v>83</v>
      </c>
    </row>
    <row r="104" spans="1:4" ht="15.75" customHeight="1" x14ac:dyDescent="0.35">
      <c r="A104" s="3">
        <v>45703</v>
      </c>
      <c r="B104" s="4" t="s">
        <v>53</v>
      </c>
      <c r="C104" s="4" t="s">
        <v>50</v>
      </c>
      <c r="D104" s="4">
        <v>102</v>
      </c>
    </row>
    <row r="105" spans="1:4" ht="15.75" customHeight="1" x14ac:dyDescent="0.35">
      <c r="A105" s="3">
        <v>45672</v>
      </c>
      <c r="B105" s="4" t="s">
        <v>36</v>
      </c>
      <c r="C105" s="4" t="s">
        <v>22</v>
      </c>
      <c r="D105" s="4">
        <v>22</v>
      </c>
    </row>
    <row r="106" spans="1:4" ht="15.75" customHeight="1" x14ac:dyDescent="0.35">
      <c r="A106" s="3">
        <v>45685</v>
      </c>
      <c r="B106" s="4" t="s">
        <v>96</v>
      </c>
      <c r="C106" s="4" t="s">
        <v>50</v>
      </c>
      <c r="D106" s="4">
        <v>110</v>
      </c>
    </row>
    <row r="107" spans="1:4" ht="15.75" customHeight="1" x14ac:dyDescent="0.35">
      <c r="A107" s="3">
        <v>45699</v>
      </c>
      <c r="B107" s="4" t="s">
        <v>71</v>
      </c>
      <c r="C107" s="4" t="s">
        <v>20</v>
      </c>
      <c r="D107" s="4">
        <v>94</v>
      </c>
    </row>
    <row r="108" spans="1:4" ht="15.75" customHeight="1" x14ac:dyDescent="0.35">
      <c r="A108" s="3">
        <v>45707</v>
      </c>
      <c r="B108" s="4" t="s">
        <v>97</v>
      </c>
      <c r="C108" s="4" t="s">
        <v>52</v>
      </c>
      <c r="D108" s="4">
        <v>95</v>
      </c>
    </row>
    <row r="109" spans="1:4" ht="15.75" customHeight="1" x14ac:dyDescent="0.35">
      <c r="A109" s="3">
        <v>45710</v>
      </c>
      <c r="B109" s="4" t="s">
        <v>7</v>
      </c>
      <c r="C109" s="4" t="s">
        <v>8</v>
      </c>
      <c r="D109" s="4">
        <v>96</v>
      </c>
    </row>
    <row r="110" spans="1:4" ht="15.75" customHeight="1" x14ac:dyDescent="0.35">
      <c r="A110" s="3">
        <v>45726</v>
      </c>
      <c r="B110" s="4" t="s">
        <v>78</v>
      </c>
      <c r="C110" s="4" t="s">
        <v>79</v>
      </c>
      <c r="D110" s="4">
        <v>114</v>
      </c>
    </row>
    <row r="111" spans="1:4" ht="15.75" customHeight="1" x14ac:dyDescent="0.35">
      <c r="A111" s="3">
        <v>45689</v>
      </c>
      <c r="B111" s="4" t="s">
        <v>98</v>
      </c>
      <c r="C111" s="4" t="s">
        <v>22</v>
      </c>
      <c r="D111" s="4">
        <v>77</v>
      </c>
    </row>
    <row r="112" spans="1:4" ht="15.75" customHeight="1" x14ac:dyDescent="0.35">
      <c r="A112" s="3">
        <v>45695</v>
      </c>
      <c r="B112" s="4" t="s">
        <v>59</v>
      </c>
      <c r="C112" s="4" t="s">
        <v>16</v>
      </c>
      <c r="D112" s="4">
        <v>59</v>
      </c>
    </row>
    <row r="113" spans="1:4" ht="15.75" customHeight="1" x14ac:dyDescent="0.35">
      <c r="A113" s="3">
        <v>45722</v>
      </c>
      <c r="B113" s="4" t="s">
        <v>45</v>
      </c>
      <c r="C113" s="4" t="s">
        <v>24</v>
      </c>
      <c r="D113" s="4">
        <v>147</v>
      </c>
    </row>
    <row r="114" spans="1:4" ht="15.75" customHeight="1" x14ac:dyDescent="0.35">
      <c r="A114" s="3">
        <v>45727</v>
      </c>
      <c r="B114" s="4" t="s">
        <v>99</v>
      </c>
      <c r="C114" s="4" t="s">
        <v>16</v>
      </c>
      <c r="D114" s="4">
        <v>44</v>
      </c>
    </row>
    <row r="115" spans="1:4" ht="15.75" customHeight="1" x14ac:dyDescent="0.35">
      <c r="A115" s="3">
        <v>45661</v>
      </c>
      <c r="B115" s="4" t="s">
        <v>51</v>
      </c>
      <c r="C115" s="4" t="s">
        <v>52</v>
      </c>
      <c r="D115" s="4">
        <v>113</v>
      </c>
    </row>
    <row r="116" spans="1:4" ht="15.75" customHeight="1" x14ac:dyDescent="0.35">
      <c r="A116" s="3">
        <v>45723</v>
      </c>
      <c r="B116" s="4" t="s">
        <v>54</v>
      </c>
      <c r="C116" s="4" t="s">
        <v>22</v>
      </c>
      <c r="D116" s="4">
        <v>55</v>
      </c>
    </row>
    <row r="117" spans="1:4" ht="15.75" customHeight="1" x14ac:dyDescent="0.35">
      <c r="A117" s="3">
        <v>45678</v>
      </c>
      <c r="B117" s="4" t="s">
        <v>76</v>
      </c>
      <c r="C117" s="4" t="s">
        <v>22</v>
      </c>
      <c r="D117" s="4">
        <v>125</v>
      </c>
    </row>
    <row r="118" spans="1:4" ht="15.75" customHeight="1" x14ac:dyDescent="0.35">
      <c r="A118" s="3">
        <v>45658</v>
      </c>
      <c r="B118" s="4" t="s">
        <v>100</v>
      </c>
      <c r="C118" s="4" t="s">
        <v>79</v>
      </c>
      <c r="D118" s="4">
        <v>117</v>
      </c>
    </row>
    <row r="119" spans="1:4" ht="15.75" customHeight="1" x14ac:dyDescent="0.35">
      <c r="A119" s="3">
        <v>45719</v>
      </c>
      <c r="B119" s="4" t="s">
        <v>101</v>
      </c>
      <c r="C119" s="4" t="s">
        <v>24</v>
      </c>
      <c r="D119" s="4">
        <v>43</v>
      </c>
    </row>
    <row r="120" spans="1:4" ht="15.75" customHeight="1" x14ac:dyDescent="0.35">
      <c r="A120" s="3">
        <v>45736</v>
      </c>
      <c r="B120" s="4" t="s">
        <v>30</v>
      </c>
      <c r="C120" s="4" t="s">
        <v>31</v>
      </c>
      <c r="D120" s="4">
        <v>73</v>
      </c>
    </row>
    <row r="121" spans="1:4" ht="15.75" customHeight="1" x14ac:dyDescent="0.35">
      <c r="A121" s="3">
        <v>45725</v>
      </c>
      <c r="B121" s="4" t="s">
        <v>102</v>
      </c>
      <c r="C121" s="4" t="s">
        <v>41</v>
      </c>
      <c r="D121" s="4">
        <v>104</v>
      </c>
    </row>
    <row r="122" spans="1:4" ht="15.75" customHeight="1" x14ac:dyDescent="0.35">
      <c r="A122" s="3">
        <v>45744</v>
      </c>
      <c r="B122" s="4" t="s">
        <v>53</v>
      </c>
      <c r="C122" s="4" t="s">
        <v>50</v>
      </c>
      <c r="D122" s="4">
        <v>67</v>
      </c>
    </row>
    <row r="123" spans="1:4" ht="15.75" customHeight="1" x14ac:dyDescent="0.35">
      <c r="A123" s="3">
        <v>45730</v>
      </c>
      <c r="B123" s="4" t="s">
        <v>72</v>
      </c>
      <c r="C123" s="4" t="s">
        <v>13</v>
      </c>
      <c r="D123" s="4">
        <v>135</v>
      </c>
    </row>
    <row r="124" spans="1:4" ht="15.75" customHeight="1" x14ac:dyDescent="0.35">
      <c r="A124" s="3">
        <v>45713</v>
      </c>
      <c r="B124" s="4" t="s">
        <v>97</v>
      </c>
      <c r="C124" s="4" t="s">
        <v>52</v>
      </c>
      <c r="D124" s="4">
        <v>7</v>
      </c>
    </row>
    <row r="125" spans="1:4" ht="15.75" customHeight="1" x14ac:dyDescent="0.35">
      <c r="A125" s="3">
        <v>45697</v>
      </c>
      <c r="B125" s="4" t="s">
        <v>9</v>
      </c>
      <c r="C125" s="4" t="s">
        <v>8</v>
      </c>
      <c r="D125" s="4">
        <v>109</v>
      </c>
    </row>
    <row r="126" spans="1:4" ht="15.75" customHeight="1" x14ac:dyDescent="0.35">
      <c r="A126" s="3">
        <v>45673</v>
      </c>
      <c r="B126" s="4" t="s">
        <v>67</v>
      </c>
      <c r="C126" s="4" t="s">
        <v>39</v>
      </c>
      <c r="D126" s="4">
        <v>66</v>
      </c>
    </row>
    <row r="127" spans="1:4" ht="15.75" customHeight="1" x14ac:dyDescent="0.35">
      <c r="A127" s="3">
        <v>45735</v>
      </c>
      <c r="B127" s="4" t="s">
        <v>61</v>
      </c>
      <c r="C127" s="4" t="s">
        <v>62</v>
      </c>
      <c r="D127" s="4">
        <v>67</v>
      </c>
    </row>
    <row r="128" spans="1:4" ht="15.75" customHeight="1" x14ac:dyDescent="0.35">
      <c r="A128" s="3">
        <v>45739</v>
      </c>
      <c r="B128" s="4" t="s">
        <v>103</v>
      </c>
      <c r="C128" s="4" t="s">
        <v>26</v>
      </c>
      <c r="D128" s="4">
        <v>24</v>
      </c>
    </row>
    <row r="129" spans="1:4" ht="15.75" customHeight="1" x14ac:dyDescent="0.35">
      <c r="A129" s="3">
        <v>45660</v>
      </c>
      <c r="B129" s="4" t="s">
        <v>71</v>
      </c>
      <c r="C129" s="4" t="s">
        <v>20</v>
      </c>
      <c r="D129" s="4">
        <v>120</v>
      </c>
    </row>
    <row r="130" spans="1:4" ht="15.75" customHeight="1" x14ac:dyDescent="0.35">
      <c r="A130" s="3">
        <v>45691</v>
      </c>
      <c r="B130" s="4" t="s">
        <v>104</v>
      </c>
      <c r="C130" s="4" t="s">
        <v>5</v>
      </c>
      <c r="D130" s="4">
        <v>123</v>
      </c>
    </row>
    <row r="131" spans="1:4" ht="15.75" customHeight="1" x14ac:dyDescent="0.35">
      <c r="A131" s="3">
        <v>45733</v>
      </c>
      <c r="B131" s="4" t="s">
        <v>105</v>
      </c>
      <c r="C131" s="4" t="s">
        <v>79</v>
      </c>
      <c r="D131" s="4">
        <v>45</v>
      </c>
    </row>
    <row r="132" spans="1:4" ht="15.75" customHeight="1" x14ac:dyDescent="0.35">
      <c r="A132" s="3">
        <v>45728</v>
      </c>
      <c r="B132" s="4" t="s">
        <v>32</v>
      </c>
      <c r="C132" s="4" t="s">
        <v>22</v>
      </c>
      <c r="D132" s="4">
        <v>74</v>
      </c>
    </row>
    <row r="133" spans="1:4" ht="15.75" customHeight="1" x14ac:dyDescent="0.35">
      <c r="A133" s="3">
        <v>45739</v>
      </c>
      <c r="B133" s="4" t="s">
        <v>106</v>
      </c>
      <c r="C133" s="4" t="s">
        <v>50</v>
      </c>
      <c r="D133" s="4">
        <v>111</v>
      </c>
    </row>
    <row r="134" spans="1:4" ht="15.75" customHeight="1" x14ac:dyDescent="0.35">
      <c r="A134" s="3">
        <v>45704</v>
      </c>
      <c r="B134" s="4" t="s">
        <v>58</v>
      </c>
      <c r="C134" s="4" t="s">
        <v>24</v>
      </c>
      <c r="D134" s="4">
        <v>44</v>
      </c>
    </row>
    <row r="135" spans="1:4" ht="15.75" customHeight="1" x14ac:dyDescent="0.35">
      <c r="A135" s="3">
        <v>45746</v>
      </c>
      <c r="B135" s="4" t="s">
        <v>107</v>
      </c>
      <c r="C135" s="4" t="s">
        <v>24</v>
      </c>
      <c r="D135" s="4">
        <v>49</v>
      </c>
    </row>
    <row r="136" spans="1:4" ht="15.75" customHeight="1" x14ac:dyDescent="0.35">
      <c r="A136" s="3">
        <v>45701</v>
      </c>
      <c r="B136" s="4" t="s">
        <v>9</v>
      </c>
      <c r="C136" s="4" t="s">
        <v>8</v>
      </c>
      <c r="D136" s="4">
        <v>66</v>
      </c>
    </row>
    <row r="137" spans="1:4" ht="15.75" customHeight="1" x14ac:dyDescent="0.35">
      <c r="A137" s="3">
        <v>45673</v>
      </c>
      <c r="B137" s="4" t="s">
        <v>108</v>
      </c>
      <c r="C137" s="4" t="s">
        <v>109</v>
      </c>
      <c r="D137" s="4">
        <v>11</v>
      </c>
    </row>
    <row r="138" spans="1:4" ht="15.75" customHeight="1" x14ac:dyDescent="0.35">
      <c r="A138" s="3">
        <v>45711</v>
      </c>
      <c r="B138" s="4" t="s">
        <v>88</v>
      </c>
      <c r="C138" s="4" t="s">
        <v>75</v>
      </c>
      <c r="D138" s="4">
        <v>83</v>
      </c>
    </row>
    <row r="139" spans="1:4" ht="15.75" customHeight="1" x14ac:dyDescent="0.35">
      <c r="A139" s="3">
        <v>45734</v>
      </c>
      <c r="B139" s="4" t="s">
        <v>69</v>
      </c>
      <c r="C139" s="4" t="s">
        <v>24</v>
      </c>
      <c r="D139" s="4">
        <v>144</v>
      </c>
    </row>
    <row r="140" spans="1:4" ht="15.75" customHeight="1" x14ac:dyDescent="0.35">
      <c r="A140" s="3">
        <v>45668</v>
      </c>
      <c r="B140" s="4" t="s">
        <v>102</v>
      </c>
      <c r="C140" s="4" t="s">
        <v>41</v>
      </c>
      <c r="D140" s="4">
        <v>78</v>
      </c>
    </row>
    <row r="141" spans="1:4" ht="15.75" customHeight="1" x14ac:dyDescent="0.35">
      <c r="A141" s="3">
        <v>45660</v>
      </c>
      <c r="B141" s="4" t="s">
        <v>58</v>
      </c>
      <c r="C141" s="4" t="s">
        <v>24</v>
      </c>
      <c r="D141" s="4">
        <v>87</v>
      </c>
    </row>
    <row r="142" spans="1:4" ht="15.75" customHeight="1" x14ac:dyDescent="0.35">
      <c r="A142" s="3">
        <v>45676</v>
      </c>
      <c r="B142" s="4" t="s">
        <v>27</v>
      </c>
      <c r="C142" s="4" t="s">
        <v>28</v>
      </c>
      <c r="D142" s="4">
        <v>17</v>
      </c>
    </row>
    <row r="143" spans="1:4" ht="15.75" customHeight="1" x14ac:dyDescent="0.35">
      <c r="A143" s="3">
        <v>45730</v>
      </c>
      <c r="B143" s="4" t="s">
        <v>34</v>
      </c>
      <c r="C143" s="4" t="s">
        <v>28</v>
      </c>
      <c r="D143" s="4">
        <v>69</v>
      </c>
    </row>
    <row r="144" spans="1:4" ht="15.75" customHeight="1" x14ac:dyDescent="0.35">
      <c r="A144" s="3">
        <v>45722</v>
      </c>
      <c r="B144" s="4" t="s">
        <v>110</v>
      </c>
      <c r="C144" s="4" t="s">
        <v>8</v>
      </c>
      <c r="D144" s="4">
        <v>137</v>
      </c>
    </row>
    <row r="145" spans="1:4" ht="15.75" customHeight="1" x14ac:dyDescent="0.35">
      <c r="A145" s="3">
        <v>45713</v>
      </c>
      <c r="B145" s="4" t="s">
        <v>111</v>
      </c>
      <c r="C145" s="4" t="s">
        <v>109</v>
      </c>
      <c r="D145" s="4">
        <v>114</v>
      </c>
    </row>
    <row r="146" spans="1:4" ht="15.75" customHeight="1" x14ac:dyDescent="0.35">
      <c r="A146" s="3">
        <v>45731</v>
      </c>
      <c r="B146" s="4" t="s">
        <v>64</v>
      </c>
      <c r="C146" s="4" t="s">
        <v>41</v>
      </c>
      <c r="D146" s="4">
        <v>24</v>
      </c>
    </row>
    <row r="147" spans="1:4" ht="15.75" customHeight="1" x14ac:dyDescent="0.35">
      <c r="A147" s="3">
        <v>45658</v>
      </c>
      <c r="B147" s="4" t="s">
        <v>73</v>
      </c>
      <c r="C147" s="4" t="s">
        <v>13</v>
      </c>
      <c r="D147" s="4">
        <v>69</v>
      </c>
    </row>
    <row r="148" spans="1:4" ht="15.75" customHeight="1" x14ac:dyDescent="0.35">
      <c r="A148" s="3">
        <v>45717</v>
      </c>
      <c r="B148" s="4" t="s">
        <v>46</v>
      </c>
      <c r="C148" s="4" t="s">
        <v>20</v>
      </c>
      <c r="D148" s="4">
        <v>38</v>
      </c>
    </row>
    <row r="149" spans="1:4" ht="15.75" customHeight="1" x14ac:dyDescent="0.35">
      <c r="A149" s="3">
        <v>45711</v>
      </c>
      <c r="B149" s="4" t="s">
        <v>21</v>
      </c>
      <c r="C149" s="4" t="s">
        <v>22</v>
      </c>
      <c r="D149" s="4">
        <v>112</v>
      </c>
    </row>
    <row r="150" spans="1:4" ht="15.75" customHeight="1" x14ac:dyDescent="0.35">
      <c r="A150" s="3">
        <v>45722</v>
      </c>
      <c r="B150" s="4" t="s">
        <v>77</v>
      </c>
      <c r="C150" s="4" t="s">
        <v>50</v>
      </c>
      <c r="D150" s="4">
        <v>113</v>
      </c>
    </row>
    <row r="151" spans="1:4" ht="15.75" customHeight="1" x14ac:dyDescent="0.35">
      <c r="A151" s="3">
        <v>45681</v>
      </c>
      <c r="B151" s="4" t="s">
        <v>112</v>
      </c>
      <c r="C151" s="4" t="s">
        <v>31</v>
      </c>
      <c r="D151" s="4">
        <v>78</v>
      </c>
    </row>
    <row r="152" spans="1:4" ht="15.75" customHeight="1" x14ac:dyDescent="0.35">
      <c r="A152" s="3">
        <v>45662</v>
      </c>
      <c r="B152" s="4" t="s">
        <v>110</v>
      </c>
      <c r="C152" s="4" t="s">
        <v>8</v>
      </c>
      <c r="D152" s="4">
        <v>76</v>
      </c>
    </row>
    <row r="153" spans="1:4" ht="15.75" customHeight="1" x14ac:dyDescent="0.35">
      <c r="A153" s="3">
        <v>45661</v>
      </c>
      <c r="B153" s="4" t="s">
        <v>113</v>
      </c>
      <c r="C153" s="4" t="s">
        <v>85</v>
      </c>
      <c r="D153" s="4">
        <v>33</v>
      </c>
    </row>
    <row r="154" spans="1:4" ht="15.75" customHeight="1" x14ac:dyDescent="0.35">
      <c r="A154" s="3">
        <v>45744</v>
      </c>
      <c r="B154" s="4" t="s">
        <v>74</v>
      </c>
      <c r="C154" s="4" t="s">
        <v>75</v>
      </c>
      <c r="D154" s="4">
        <v>27</v>
      </c>
    </row>
    <row r="155" spans="1:4" ht="15.75" customHeight="1" x14ac:dyDescent="0.35">
      <c r="A155" s="3">
        <v>45667</v>
      </c>
      <c r="B155" s="4" t="s">
        <v>101</v>
      </c>
      <c r="C155" s="4" t="s">
        <v>24</v>
      </c>
      <c r="D155" s="4">
        <v>112</v>
      </c>
    </row>
    <row r="156" spans="1:4" ht="15.75" customHeight="1" x14ac:dyDescent="0.35">
      <c r="A156" s="3">
        <v>45741</v>
      </c>
      <c r="B156" s="4" t="s">
        <v>18</v>
      </c>
      <c r="C156" s="4" t="s">
        <v>13</v>
      </c>
      <c r="D156" s="4">
        <v>48</v>
      </c>
    </row>
    <row r="157" spans="1:4" ht="15.75" customHeight="1" x14ac:dyDescent="0.35">
      <c r="A157" s="3">
        <v>45684</v>
      </c>
      <c r="B157" s="4" t="s">
        <v>51</v>
      </c>
      <c r="C157" s="4" t="s">
        <v>52</v>
      </c>
      <c r="D157" s="4">
        <v>38</v>
      </c>
    </row>
    <row r="158" spans="1:4" ht="15.75" customHeight="1" x14ac:dyDescent="0.35">
      <c r="A158" s="3">
        <v>45724</v>
      </c>
      <c r="B158" s="4" t="s">
        <v>30</v>
      </c>
      <c r="C158" s="4" t="s">
        <v>31</v>
      </c>
      <c r="D158" s="4">
        <v>50</v>
      </c>
    </row>
    <row r="159" spans="1:4" ht="15.75" customHeight="1" x14ac:dyDescent="0.35">
      <c r="A159" s="3">
        <v>45712</v>
      </c>
      <c r="B159" s="4" t="s">
        <v>68</v>
      </c>
      <c r="C159" s="4" t="s">
        <v>62</v>
      </c>
      <c r="D159" s="4">
        <v>54</v>
      </c>
    </row>
    <row r="160" spans="1:4" ht="15.75" customHeight="1" x14ac:dyDescent="0.35">
      <c r="A160" s="3">
        <v>45740</v>
      </c>
      <c r="B160" s="4" t="s">
        <v>56</v>
      </c>
      <c r="C160" s="4" t="s">
        <v>5</v>
      </c>
      <c r="D160" s="4">
        <v>7</v>
      </c>
    </row>
    <row r="161" spans="1:4" ht="15.75" customHeight="1" x14ac:dyDescent="0.35">
      <c r="A161" s="3">
        <v>45660</v>
      </c>
      <c r="B161" s="4" t="s">
        <v>114</v>
      </c>
      <c r="C161" s="4" t="s">
        <v>75</v>
      </c>
      <c r="D161" s="4">
        <v>122</v>
      </c>
    </row>
    <row r="162" spans="1:4" ht="15.75" customHeight="1" x14ac:dyDescent="0.35">
      <c r="A162" s="3">
        <v>45680</v>
      </c>
      <c r="B162" s="4" t="s">
        <v>115</v>
      </c>
      <c r="C162" s="4" t="s">
        <v>50</v>
      </c>
      <c r="D162" s="4">
        <v>141</v>
      </c>
    </row>
    <row r="163" spans="1:4" ht="15.75" customHeight="1" x14ac:dyDescent="0.35">
      <c r="A163" s="3">
        <v>45704</v>
      </c>
      <c r="B163" s="4" t="s">
        <v>116</v>
      </c>
      <c r="C163" s="4" t="s">
        <v>82</v>
      </c>
      <c r="D163" s="4">
        <v>107</v>
      </c>
    </row>
    <row r="164" spans="1:4" ht="15.75" customHeight="1" x14ac:dyDescent="0.35">
      <c r="A164" s="3">
        <v>45686</v>
      </c>
      <c r="B164" s="4" t="s">
        <v>96</v>
      </c>
      <c r="C164" s="4" t="s">
        <v>50</v>
      </c>
      <c r="D164" s="4">
        <v>16</v>
      </c>
    </row>
    <row r="165" spans="1:4" ht="15.75" customHeight="1" x14ac:dyDescent="0.35">
      <c r="A165" s="3">
        <v>45692</v>
      </c>
      <c r="B165" s="4" t="s">
        <v>105</v>
      </c>
      <c r="C165" s="4" t="s">
        <v>79</v>
      </c>
      <c r="D165" s="4">
        <v>40</v>
      </c>
    </row>
    <row r="166" spans="1:4" ht="15.75" customHeight="1" x14ac:dyDescent="0.35">
      <c r="A166" s="3">
        <v>45725</v>
      </c>
      <c r="B166" s="4" t="s">
        <v>51</v>
      </c>
      <c r="C166" s="4" t="s">
        <v>52</v>
      </c>
      <c r="D166" s="4">
        <v>40</v>
      </c>
    </row>
    <row r="167" spans="1:4" ht="15.75" customHeight="1" x14ac:dyDescent="0.35">
      <c r="A167" s="3">
        <v>45685</v>
      </c>
      <c r="B167" s="4" t="s">
        <v>42</v>
      </c>
      <c r="C167" s="4" t="s">
        <v>24</v>
      </c>
      <c r="D167" s="4">
        <v>45</v>
      </c>
    </row>
    <row r="168" spans="1:4" ht="15.75" customHeight="1" x14ac:dyDescent="0.35">
      <c r="A168" s="3">
        <v>45692</v>
      </c>
      <c r="B168" s="4" t="s">
        <v>89</v>
      </c>
      <c r="C168" s="4" t="s">
        <v>79</v>
      </c>
      <c r="D168" s="4">
        <v>101</v>
      </c>
    </row>
    <row r="169" spans="1:4" ht="15.75" customHeight="1" x14ac:dyDescent="0.35">
      <c r="A169" s="3">
        <v>45672</v>
      </c>
      <c r="B169" s="4" t="s">
        <v>45</v>
      </c>
      <c r="C169" s="4" t="s">
        <v>24</v>
      </c>
      <c r="D169" s="4">
        <v>2</v>
      </c>
    </row>
    <row r="170" spans="1:4" ht="15.75" customHeight="1" x14ac:dyDescent="0.35">
      <c r="A170" s="3">
        <v>45701</v>
      </c>
      <c r="B170" s="4" t="s">
        <v>30</v>
      </c>
      <c r="C170" s="4" t="s">
        <v>31</v>
      </c>
      <c r="D170" s="4">
        <v>141</v>
      </c>
    </row>
    <row r="171" spans="1:4" ht="15.75" customHeight="1" x14ac:dyDescent="0.35">
      <c r="A171" s="3">
        <v>45674</v>
      </c>
      <c r="B171" s="4" t="s">
        <v>81</v>
      </c>
      <c r="C171" s="4" t="s">
        <v>82</v>
      </c>
      <c r="D171" s="4">
        <v>79</v>
      </c>
    </row>
    <row r="172" spans="1:4" ht="15.75" customHeight="1" x14ac:dyDescent="0.35">
      <c r="A172" s="3">
        <v>45712</v>
      </c>
      <c r="B172" s="4" t="s">
        <v>117</v>
      </c>
      <c r="C172" s="4" t="s">
        <v>28</v>
      </c>
      <c r="D172" s="4">
        <v>36</v>
      </c>
    </row>
    <row r="173" spans="1:4" ht="15.75" customHeight="1" x14ac:dyDescent="0.35">
      <c r="A173" s="3">
        <v>45657</v>
      </c>
      <c r="B173" s="4" t="s">
        <v>18</v>
      </c>
      <c r="C173" s="4" t="s">
        <v>13</v>
      </c>
      <c r="D173" s="4">
        <v>96</v>
      </c>
    </row>
    <row r="174" spans="1:4" ht="15.75" customHeight="1" x14ac:dyDescent="0.35">
      <c r="A174" s="3">
        <v>45690</v>
      </c>
      <c r="B174" s="4" t="s">
        <v>68</v>
      </c>
      <c r="C174" s="4" t="s">
        <v>62</v>
      </c>
      <c r="D174" s="4">
        <v>16</v>
      </c>
    </row>
    <row r="175" spans="1:4" ht="15.75" customHeight="1" x14ac:dyDescent="0.35">
      <c r="A175" s="3">
        <v>45710</v>
      </c>
      <c r="B175" s="4" t="s">
        <v>51</v>
      </c>
      <c r="C175" s="4" t="s">
        <v>52</v>
      </c>
      <c r="D175" s="4">
        <v>36</v>
      </c>
    </row>
    <row r="176" spans="1:4" ht="15.75" customHeight="1" x14ac:dyDescent="0.35">
      <c r="A176" s="3">
        <v>45732</v>
      </c>
      <c r="B176" s="4" t="s">
        <v>71</v>
      </c>
      <c r="C176" s="4" t="s">
        <v>20</v>
      </c>
      <c r="D176" s="4">
        <v>97</v>
      </c>
    </row>
    <row r="177" spans="1:4" ht="15.75" customHeight="1" x14ac:dyDescent="0.35">
      <c r="A177" s="3">
        <v>45730</v>
      </c>
      <c r="B177" s="4" t="s">
        <v>110</v>
      </c>
      <c r="C177" s="4" t="s">
        <v>8</v>
      </c>
      <c r="D177" s="4">
        <v>124</v>
      </c>
    </row>
    <row r="178" spans="1:4" ht="15.75" customHeight="1" x14ac:dyDescent="0.35">
      <c r="A178" s="3">
        <v>45659</v>
      </c>
      <c r="B178" s="4" t="s">
        <v>118</v>
      </c>
      <c r="C178" s="4" t="s">
        <v>52</v>
      </c>
      <c r="D178" s="4">
        <v>17</v>
      </c>
    </row>
    <row r="179" spans="1:4" ht="15.75" customHeight="1" x14ac:dyDescent="0.35">
      <c r="A179" s="3">
        <v>45746</v>
      </c>
      <c r="B179" s="4" t="s">
        <v>64</v>
      </c>
      <c r="C179" s="4" t="s">
        <v>41</v>
      </c>
      <c r="D179" s="4">
        <v>125</v>
      </c>
    </row>
    <row r="180" spans="1:4" ht="15.75" customHeight="1" x14ac:dyDescent="0.35">
      <c r="A180" s="3">
        <v>45729</v>
      </c>
      <c r="B180" s="4" t="s">
        <v>103</v>
      </c>
      <c r="C180" s="4" t="s">
        <v>26</v>
      </c>
      <c r="D180" s="4">
        <v>138</v>
      </c>
    </row>
    <row r="181" spans="1:4" ht="15.75" customHeight="1" x14ac:dyDescent="0.35">
      <c r="A181" s="3">
        <v>45691</v>
      </c>
      <c r="B181" s="4" t="s">
        <v>43</v>
      </c>
      <c r="C181" s="4" t="s">
        <v>16</v>
      </c>
      <c r="D181" s="4">
        <v>41</v>
      </c>
    </row>
    <row r="182" spans="1:4" ht="15.75" customHeight="1" x14ac:dyDescent="0.35">
      <c r="A182" s="3">
        <v>45740</v>
      </c>
      <c r="B182" s="4" t="s">
        <v>36</v>
      </c>
      <c r="C182" s="4" t="s">
        <v>22</v>
      </c>
      <c r="D182" s="4">
        <v>59</v>
      </c>
    </row>
    <row r="183" spans="1:4" ht="15.75" customHeight="1" x14ac:dyDescent="0.35">
      <c r="A183" s="3">
        <v>45737</v>
      </c>
      <c r="B183" s="4" t="s">
        <v>77</v>
      </c>
      <c r="C183" s="4" t="s">
        <v>50</v>
      </c>
      <c r="D183" s="4">
        <v>101</v>
      </c>
    </row>
    <row r="184" spans="1:4" ht="15.75" customHeight="1" x14ac:dyDescent="0.35">
      <c r="A184" s="3">
        <v>45710</v>
      </c>
      <c r="B184" s="4" t="s">
        <v>108</v>
      </c>
      <c r="C184" s="4" t="s">
        <v>109</v>
      </c>
      <c r="D184" s="4">
        <v>6</v>
      </c>
    </row>
    <row r="185" spans="1:4" ht="15.75" customHeight="1" x14ac:dyDescent="0.35">
      <c r="A185" s="3">
        <v>45719</v>
      </c>
      <c r="B185" s="4" t="s">
        <v>90</v>
      </c>
      <c r="C185" s="4" t="s">
        <v>39</v>
      </c>
      <c r="D185" s="4">
        <v>18</v>
      </c>
    </row>
    <row r="186" spans="1:4" ht="15.75" customHeight="1" x14ac:dyDescent="0.35">
      <c r="A186" s="3">
        <v>45679</v>
      </c>
      <c r="B186" s="4" t="s">
        <v>43</v>
      </c>
      <c r="C186" s="4" t="s">
        <v>16</v>
      </c>
      <c r="D186" s="4">
        <v>130</v>
      </c>
    </row>
    <row r="187" spans="1:4" ht="15.75" customHeight="1" x14ac:dyDescent="0.35">
      <c r="A187" s="3">
        <v>45712</v>
      </c>
      <c r="B187" s="4" t="s">
        <v>77</v>
      </c>
      <c r="C187" s="4" t="s">
        <v>50</v>
      </c>
      <c r="D187" s="4">
        <v>61</v>
      </c>
    </row>
    <row r="188" spans="1:4" ht="15.75" customHeight="1" x14ac:dyDescent="0.35">
      <c r="A188" s="3">
        <v>45695</v>
      </c>
      <c r="B188" s="4" t="s">
        <v>63</v>
      </c>
      <c r="C188" s="4" t="s">
        <v>26</v>
      </c>
      <c r="D188" s="4">
        <v>108</v>
      </c>
    </row>
    <row r="189" spans="1:4" ht="15.75" customHeight="1" x14ac:dyDescent="0.35">
      <c r="A189" s="3">
        <v>45666</v>
      </c>
      <c r="B189" s="4" t="s">
        <v>105</v>
      </c>
      <c r="C189" s="4" t="s">
        <v>79</v>
      </c>
      <c r="D189" s="4">
        <v>142</v>
      </c>
    </row>
    <row r="190" spans="1:4" ht="15.75" customHeight="1" x14ac:dyDescent="0.35">
      <c r="A190" s="3">
        <v>45661</v>
      </c>
      <c r="B190" s="4" t="s">
        <v>21</v>
      </c>
      <c r="C190" s="4" t="s">
        <v>22</v>
      </c>
      <c r="D190" s="4">
        <v>116</v>
      </c>
    </row>
    <row r="191" spans="1:4" ht="15.75" customHeight="1" x14ac:dyDescent="0.35">
      <c r="A191" s="3">
        <v>45673</v>
      </c>
      <c r="B191" s="4" t="s">
        <v>38</v>
      </c>
      <c r="C191" s="4" t="s">
        <v>39</v>
      </c>
      <c r="D191" s="4">
        <v>148</v>
      </c>
    </row>
    <row r="192" spans="1:4" ht="15.75" customHeight="1" x14ac:dyDescent="0.35">
      <c r="A192" s="3">
        <v>45658</v>
      </c>
      <c r="B192" s="4" t="s">
        <v>44</v>
      </c>
      <c r="C192" s="4" t="s">
        <v>20</v>
      </c>
      <c r="D192" s="4">
        <v>82</v>
      </c>
    </row>
    <row r="193" spans="1:4" ht="15.75" customHeight="1" x14ac:dyDescent="0.35">
      <c r="A193" s="3">
        <v>45743</v>
      </c>
      <c r="B193" s="4" t="s">
        <v>114</v>
      </c>
      <c r="C193" s="4" t="s">
        <v>75</v>
      </c>
      <c r="D193" s="4">
        <v>118</v>
      </c>
    </row>
    <row r="194" spans="1:4" ht="15.75" customHeight="1" x14ac:dyDescent="0.35">
      <c r="A194" s="3">
        <v>45668</v>
      </c>
      <c r="B194" s="4" t="s">
        <v>97</v>
      </c>
      <c r="C194" s="4" t="s">
        <v>52</v>
      </c>
      <c r="D194" s="4">
        <v>122</v>
      </c>
    </row>
    <row r="195" spans="1:4" ht="15.75" customHeight="1" x14ac:dyDescent="0.35">
      <c r="A195" s="3">
        <v>45713</v>
      </c>
      <c r="B195" s="4" t="s">
        <v>119</v>
      </c>
      <c r="C195" s="4" t="s">
        <v>16</v>
      </c>
      <c r="D195" s="4">
        <v>112</v>
      </c>
    </row>
    <row r="196" spans="1:4" ht="15.75" customHeight="1" x14ac:dyDescent="0.35">
      <c r="A196" s="3">
        <v>45667</v>
      </c>
      <c r="B196" s="4" t="s">
        <v>87</v>
      </c>
      <c r="C196" s="4" t="s">
        <v>39</v>
      </c>
      <c r="D196" s="4">
        <v>64</v>
      </c>
    </row>
    <row r="197" spans="1:4" ht="15.75" customHeight="1" x14ac:dyDescent="0.35">
      <c r="A197" s="3">
        <v>45738</v>
      </c>
      <c r="B197" s="4" t="s">
        <v>35</v>
      </c>
      <c r="C197" s="4" t="s">
        <v>8</v>
      </c>
      <c r="D197" s="4">
        <v>150</v>
      </c>
    </row>
    <row r="198" spans="1:4" ht="15.75" customHeight="1" x14ac:dyDescent="0.35">
      <c r="A198" s="3">
        <v>45683</v>
      </c>
      <c r="B198" s="4" t="s">
        <v>63</v>
      </c>
      <c r="C198" s="4" t="s">
        <v>26</v>
      </c>
      <c r="D198" s="4">
        <v>55</v>
      </c>
    </row>
    <row r="199" spans="1:4" ht="15.75" customHeight="1" x14ac:dyDescent="0.35">
      <c r="A199" s="3">
        <v>45742</v>
      </c>
      <c r="B199" s="4" t="s">
        <v>23</v>
      </c>
      <c r="C199" s="4" t="s">
        <v>24</v>
      </c>
      <c r="D199" s="4">
        <v>74</v>
      </c>
    </row>
    <row r="200" spans="1:4" ht="15.75" customHeight="1" x14ac:dyDescent="0.35">
      <c r="A200" s="3">
        <v>45736</v>
      </c>
      <c r="B200" s="4" t="s">
        <v>32</v>
      </c>
      <c r="C200" s="4" t="s">
        <v>22</v>
      </c>
      <c r="D200" s="4">
        <v>95</v>
      </c>
    </row>
    <row r="201" spans="1:4" ht="15.75" customHeight="1" x14ac:dyDescent="0.35">
      <c r="A201" s="3">
        <v>45702</v>
      </c>
      <c r="B201" s="4" t="s">
        <v>45</v>
      </c>
      <c r="C201" s="4" t="s">
        <v>24</v>
      </c>
      <c r="D201" s="4">
        <v>69</v>
      </c>
    </row>
    <row r="202" spans="1:4" ht="15.75" customHeight="1" x14ac:dyDescent="0.35">
      <c r="A202" s="3">
        <v>45669</v>
      </c>
      <c r="B202" s="4" t="s">
        <v>10</v>
      </c>
      <c r="C202" s="4" t="s">
        <v>8</v>
      </c>
      <c r="D202" s="4">
        <v>94</v>
      </c>
    </row>
    <row r="203" spans="1:4" ht="15.75" customHeight="1" x14ac:dyDescent="0.35">
      <c r="A203" s="3">
        <v>45706</v>
      </c>
      <c r="B203" s="4" t="s">
        <v>99</v>
      </c>
      <c r="C203" s="4" t="s">
        <v>16</v>
      </c>
      <c r="D203" s="4">
        <v>74</v>
      </c>
    </row>
    <row r="204" spans="1:4" ht="15.75" customHeight="1" x14ac:dyDescent="0.35">
      <c r="A204" s="3">
        <v>45705</v>
      </c>
      <c r="B204" s="4" t="s">
        <v>120</v>
      </c>
      <c r="C204" s="4" t="s">
        <v>26</v>
      </c>
      <c r="D204" s="4">
        <v>148</v>
      </c>
    </row>
    <row r="205" spans="1:4" ht="15.75" customHeight="1" x14ac:dyDescent="0.35">
      <c r="A205" s="3">
        <v>45745</v>
      </c>
      <c r="B205" s="4" t="s">
        <v>7</v>
      </c>
      <c r="C205" s="4" t="s">
        <v>8</v>
      </c>
      <c r="D205" s="4">
        <v>25</v>
      </c>
    </row>
    <row r="206" spans="1:4" ht="15.75" customHeight="1" x14ac:dyDescent="0.35">
      <c r="A206" s="3">
        <v>45670</v>
      </c>
      <c r="B206" s="4" t="s">
        <v>121</v>
      </c>
      <c r="C206" s="4" t="s">
        <v>50</v>
      </c>
      <c r="D206" s="4">
        <v>45</v>
      </c>
    </row>
    <row r="207" spans="1:4" ht="15.75" customHeight="1" x14ac:dyDescent="0.35">
      <c r="A207" s="3">
        <v>45715</v>
      </c>
      <c r="B207" s="4" t="s">
        <v>73</v>
      </c>
      <c r="C207" s="4" t="s">
        <v>13</v>
      </c>
      <c r="D207" s="4">
        <v>140</v>
      </c>
    </row>
    <row r="208" spans="1:4" ht="15.75" customHeight="1" x14ac:dyDescent="0.35">
      <c r="A208" s="3">
        <v>45693</v>
      </c>
      <c r="B208" s="4" t="s">
        <v>116</v>
      </c>
      <c r="C208" s="4" t="s">
        <v>82</v>
      </c>
      <c r="D208" s="4">
        <v>62</v>
      </c>
    </row>
    <row r="209" spans="1:4" ht="15.75" customHeight="1" x14ac:dyDescent="0.35">
      <c r="A209" s="3">
        <v>45696</v>
      </c>
      <c r="B209" s="4" t="s">
        <v>122</v>
      </c>
      <c r="C209" s="4" t="s">
        <v>26</v>
      </c>
      <c r="D209" s="4">
        <v>70</v>
      </c>
    </row>
    <row r="210" spans="1:4" ht="15.75" customHeight="1" x14ac:dyDescent="0.35">
      <c r="A210" s="3">
        <v>45712</v>
      </c>
      <c r="B210" s="4" t="s">
        <v>102</v>
      </c>
      <c r="C210" s="4" t="s">
        <v>41</v>
      </c>
      <c r="D210" s="4">
        <v>1</v>
      </c>
    </row>
    <row r="211" spans="1:4" ht="15.75" customHeight="1" x14ac:dyDescent="0.35">
      <c r="A211" s="3">
        <v>45686</v>
      </c>
      <c r="B211" s="4" t="s">
        <v>6</v>
      </c>
      <c r="C211" s="4" t="s">
        <v>5</v>
      </c>
      <c r="D211" s="4">
        <v>81</v>
      </c>
    </row>
    <row r="212" spans="1:4" ht="15.75" customHeight="1" x14ac:dyDescent="0.35">
      <c r="A212" s="3">
        <v>45684</v>
      </c>
      <c r="B212" s="4" t="s">
        <v>123</v>
      </c>
      <c r="C212" s="4" t="s">
        <v>79</v>
      </c>
      <c r="D212" s="4">
        <v>98</v>
      </c>
    </row>
    <row r="213" spans="1:4" ht="15.75" customHeight="1" x14ac:dyDescent="0.35">
      <c r="A213" s="3">
        <v>45683</v>
      </c>
      <c r="B213" s="4" t="s">
        <v>110</v>
      </c>
      <c r="C213" s="4" t="s">
        <v>8</v>
      </c>
      <c r="D213" s="4">
        <v>98</v>
      </c>
    </row>
    <row r="214" spans="1:4" ht="15.75" customHeight="1" x14ac:dyDescent="0.35">
      <c r="A214" s="3">
        <v>45724</v>
      </c>
      <c r="B214" s="4" t="s">
        <v>18</v>
      </c>
      <c r="C214" s="4" t="s">
        <v>13</v>
      </c>
      <c r="D214" s="4">
        <v>14</v>
      </c>
    </row>
    <row r="215" spans="1:4" ht="15.75" customHeight="1" x14ac:dyDescent="0.35">
      <c r="A215" s="3">
        <v>45710</v>
      </c>
      <c r="B215" s="4" t="s">
        <v>124</v>
      </c>
      <c r="C215" s="4" t="s">
        <v>26</v>
      </c>
      <c r="D215" s="4">
        <v>16</v>
      </c>
    </row>
    <row r="216" spans="1:4" ht="15.75" customHeight="1" x14ac:dyDescent="0.35">
      <c r="A216" s="3">
        <v>45728</v>
      </c>
      <c r="B216" s="4" t="s">
        <v>88</v>
      </c>
      <c r="C216" s="4" t="s">
        <v>75</v>
      </c>
      <c r="D216" s="4">
        <v>42</v>
      </c>
    </row>
    <row r="217" spans="1:4" ht="15.75" customHeight="1" x14ac:dyDescent="0.35">
      <c r="A217" s="3">
        <v>45744</v>
      </c>
      <c r="B217" s="4" t="s">
        <v>6</v>
      </c>
      <c r="C217" s="4" t="s">
        <v>5</v>
      </c>
      <c r="D217" s="4">
        <v>15</v>
      </c>
    </row>
    <row r="218" spans="1:4" ht="15.75" customHeight="1" x14ac:dyDescent="0.35">
      <c r="A218" s="3">
        <v>45716</v>
      </c>
      <c r="B218" s="4" t="s">
        <v>92</v>
      </c>
      <c r="C218" s="4" t="s">
        <v>82</v>
      </c>
      <c r="D218" s="4">
        <v>88</v>
      </c>
    </row>
    <row r="219" spans="1:4" ht="15.75" customHeight="1" x14ac:dyDescent="0.35">
      <c r="A219" s="3">
        <v>45730</v>
      </c>
      <c r="B219" s="4" t="s">
        <v>55</v>
      </c>
      <c r="C219" s="4" t="s">
        <v>24</v>
      </c>
      <c r="D219" s="4">
        <v>26</v>
      </c>
    </row>
    <row r="220" spans="1:4" ht="15.75" customHeight="1" x14ac:dyDescent="0.35">
      <c r="A220" s="3">
        <v>45660</v>
      </c>
      <c r="B220" s="4" t="s">
        <v>104</v>
      </c>
      <c r="C220" s="4" t="s">
        <v>5</v>
      </c>
      <c r="D220" s="4">
        <v>140</v>
      </c>
    </row>
    <row r="221" spans="1:4" ht="15.75" customHeight="1" x14ac:dyDescent="0.35">
      <c r="A221" s="3">
        <v>45721</v>
      </c>
      <c r="B221" s="4" t="s">
        <v>125</v>
      </c>
      <c r="C221" s="4" t="s">
        <v>20</v>
      </c>
      <c r="D221" s="4">
        <v>74</v>
      </c>
    </row>
    <row r="222" spans="1:4" ht="15.75" customHeight="1" x14ac:dyDescent="0.35">
      <c r="A222" s="3">
        <v>45687</v>
      </c>
      <c r="B222" s="4" t="s">
        <v>115</v>
      </c>
      <c r="C222" s="4" t="s">
        <v>50</v>
      </c>
      <c r="D222" s="4">
        <v>55</v>
      </c>
    </row>
    <row r="223" spans="1:4" ht="15.75" customHeight="1" x14ac:dyDescent="0.35">
      <c r="A223" s="3">
        <v>45679</v>
      </c>
      <c r="B223" s="4" t="s">
        <v>84</v>
      </c>
      <c r="C223" s="4" t="s">
        <v>85</v>
      </c>
      <c r="D223" s="4">
        <v>42</v>
      </c>
    </row>
    <row r="224" spans="1:4" ht="15.75" customHeight="1" x14ac:dyDescent="0.35">
      <c r="A224" s="3">
        <v>45743</v>
      </c>
      <c r="B224" s="4" t="s">
        <v>15</v>
      </c>
      <c r="C224" s="4" t="s">
        <v>16</v>
      </c>
      <c r="D224" s="4">
        <v>33</v>
      </c>
    </row>
    <row r="225" spans="1:4" ht="15.75" customHeight="1" x14ac:dyDescent="0.35">
      <c r="A225" s="3">
        <v>45678</v>
      </c>
      <c r="B225" s="4" t="s">
        <v>35</v>
      </c>
      <c r="C225" s="4" t="s">
        <v>8</v>
      </c>
      <c r="D225" s="4">
        <v>122</v>
      </c>
    </row>
    <row r="226" spans="1:4" ht="15.75" customHeight="1" x14ac:dyDescent="0.35">
      <c r="A226" s="3">
        <v>45690</v>
      </c>
      <c r="B226" s="4" t="s">
        <v>101</v>
      </c>
      <c r="C226" s="4" t="s">
        <v>24</v>
      </c>
      <c r="D226" s="4">
        <v>33</v>
      </c>
    </row>
    <row r="227" spans="1:4" ht="15.75" customHeight="1" x14ac:dyDescent="0.35">
      <c r="A227" s="3">
        <v>45720</v>
      </c>
      <c r="B227" s="4" t="s">
        <v>71</v>
      </c>
      <c r="C227" s="4" t="s">
        <v>20</v>
      </c>
      <c r="D227" s="4">
        <v>139</v>
      </c>
    </row>
    <row r="228" spans="1:4" ht="15.75" customHeight="1" x14ac:dyDescent="0.35">
      <c r="A228" s="3">
        <v>45698</v>
      </c>
      <c r="B228" s="4" t="s">
        <v>126</v>
      </c>
      <c r="C228" s="4" t="s">
        <v>26</v>
      </c>
      <c r="D228" s="4">
        <v>26</v>
      </c>
    </row>
    <row r="229" spans="1:4" ht="15.75" customHeight="1" x14ac:dyDescent="0.35">
      <c r="A229" s="3">
        <v>45703</v>
      </c>
      <c r="B229" s="4" t="s">
        <v>127</v>
      </c>
      <c r="C229" s="4" t="s">
        <v>22</v>
      </c>
      <c r="D229" s="4">
        <v>68</v>
      </c>
    </row>
    <row r="230" spans="1:4" ht="15.75" customHeight="1" x14ac:dyDescent="0.35">
      <c r="A230" s="3">
        <v>45744</v>
      </c>
      <c r="B230" s="4" t="s">
        <v>55</v>
      </c>
      <c r="C230" s="4" t="s">
        <v>24</v>
      </c>
      <c r="D230" s="4">
        <v>118</v>
      </c>
    </row>
    <row r="231" spans="1:4" ht="15.75" customHeight="1" x14ac:dyDescent="0.35">
      <c r="A231" s="3">
        <v>45685</v>
      </c>
      <c r="B231" s="4" t="s">
        <v>128</v>
      </c>
      <c r="C231" s="4" t="s">
        <v>82</v>
      </c>
      <c r="D231" s="4">
        <v>55</v>
      </c>
    </row>
    <row r="232" spans="1:4" ht="15.75" customHeight="1" x14ac:dyDescent="0.35">
      <c r="A232" s="3">
        <v>45701</v>
      </c>
      <c r="B232" s="4" t="s">
        <v>91</v>
      </c>
      <c r="C232" s="4" t="s">
        <v>26</v>
      </c>
      <c r="D232" s="4">
        <v>27</v>
      </c>
    </row>
    <row r="233" spans="1:4" ht="15.75" customHeight="1" x14ac:dyDescent="0.35">
      <c r="A233" s="3">
        <v>45742</v>
      </c>
      <c r="B233" s="4" t="s">
        <v>66</v>
      </c>
      <c r="C233" s="4" t="s">
        <v>52</v>
      </c>
      <c r="D233" s="4">
        <v>141</v>
      </c>
    </row>
    <row r="234" spans="1:4" ht="15.75" customHeight="1" x14ac:dyDescent="0.35">
      <c r="A234" s="3">
        <v>45721</v>
      </c>
      <c r="B234" s="4" t="s">
        <v>17</v>
      </c>
      <c r="C234" s="4" t="s">
        <v>16</v>
      </c>
      <c r="D234" s="4">
        <v>20</v>
      </c>
    </row>
    <row r="235" spans="1:4" ht="15.75" customHeight="1" x14ac:dyDescent="0.35">
      <c r="A235" s="3">
        <v>45732</v>
      </c>
      <c r="B235" s="4" t="s">
        <v>112</v>
      </c>
      <c r="C235" s="4" t="s">
        <v>31</v>
      </c>
      <c r="D235" s="4">
        <v>97</v>
      </c>
    </row>
    <row r="236" spans="1:4" ht="15.75" customHeight="1" x14ac:dyDescent="0.35">
      <c r="A236" s="3">
        <v>45720</v>
      </c>
      <c r="B236" s="4" t="s">
        <v>6</v>
      </c>
      <c r="C236" s="4" t="s">
        <v>5</v>
      </c>
      <c r="D236" s="4">
        <v>17</v>
      </c>
    </row>
    <row r="237" spans="1:4" ht="15.75" customHeight="1" x14ac:dyDescent="0.35">
      <c r="A237" s="3">
        <v>45675</v>
      </c>
      <c r="B237" s="4" t="s">
        <v>129</v>
      </c>
      <c r="C237" s="4" t="s">
        <v>41</v>
      </c>
      <c r="D237" s="4">
        <v>124</v>
      </c>
    </row>
    <row r="238" spans="1:4" ht="15.75" customHeight="1" x14ac:dyDescent="0.35">
      <c r="A238" s="3">
        <v>45734</v>
      </c>
      <c r="B238" s="4" t="s">
        <v>11</v>
      </c>
      <c r="C238" s="4" t="s">
        <v>5</v>
      </c>
      <c r="D238" s="4">
        <v>51</v>
      </c>
    </row>
    <row r="239" spans="1:4" ht="15.75" customHeight="1" x14ac:dyDescent="0.35">
      <c r="A239" s="3">
        <v>45691</v>
      </c>
      <c r="B239" s="4" t="s">
        <v>113</v>
      </c>
      <c r="C239" s="4" t="s">
        <v>85</v>
      </c>
      <c r="D239" s="4">
        <v>45</v>
      </c>
    </row>
    <row r="240" spans="1:4" ht="15.75" customHeight="1" x14ac:dyDescent="0.35">
      <c r="A240" s="3">
        <v>45662</v>
      </c>
      <c r="B240" s="4" t="s">
        <v>115</v>
      </c>
      <c r="C240" s="4" t="s">
        <v>50</v>
      </c>
      <c r="D240" s="4">
        <v>24</v>
      </c>
    </row>
    <row r="241" spans="1:4" ht="15.75" customHeight="1" x14ac:dyDescent="0.35">
      <c r="A241" s="3">
        <v>45707</v>
      </c>
      <c r="B241" s="4" t="s">
        <v>125</v>
      </c>
      <c r="C241" s="4" t="s">
        <v>20</v>
      </c>
      <c r="D241" s="4">
        <v>97</v>
      </c>
    </row>
    <row r="242" spans="1:4" ht="15.75" customHeight="1" x14ac:dyDescent="0.35">
      <c r="A242" s="3">
        <v>45702</v>
      </c>
      <c r="B242" s="4" t="s">
        <v>86</v>
      </c>
      <c r="C242" s="4" t="s">
        <v>26</v>
      </c>
      <c r="D242" s="4">
        <v>19</v>
      </c>
    </row>
    <row r="243" spans="1:4" ht="15.75" customHeight="1" x14ac:dyDescent="0.35">
      <c r="A243" s="3">
        <v>45679</v>
      </c>
      <c r="B243" s="4" t="s">
        <v>87</v>
      </c>
      <c r="C243" s="4" t="s">
        <v>39</v>
      </c>
      <c r="D243" s="4">
        <v>10</v>
      </c>
    </row>
    <row r="244" spans="1:4" ht="15.75" customHeight="1" x14ac:dyDescent="0.35">
      <c r="A244" s="3">
        <v>45743</v>
      </c>
      <c r="B244" s="4" t="s">
        <v>83</v>
      </c>
      <c r="C244" s="4" t="s">
        <v>5</v>
      </c>
      <c r="D244" s="4">
        <v>88</v>
      </c>
    </row>
    <row r="245" spans="1:4" ht="15.75" customHeight="1" x14ac:dyDescent="0.35">
      <c r="A245" s="3">
        <v>45674</v>
      </c>
      <c r="B245" s="4" t="s">
        <v>49</v>
      </c>
      <c r="C245" s="4" t="s">
        <v>50</v>
      </c>
      <c r="D245" s="4">
        <v>6</v>
      </c>
    </row>
    <row r="246" spans="1:4" ht="15.75" customHeight="1" x14ac:dyDescent="0.35">
      <c r="A246" s="3">
        <v>45739</v>
      </c>
      <c r="B246" s="4" t="s">
        <v>60</v>
      </c>
      <c r="C246" s="4" t="s">
        <v>24</v>
      </c>
      <c r="D246" s="4">
        <v>146</v>
      </c>
    </row>
    <row r="247" spans="1:4" ht="15.75" customHeight="1" x14ac:dyDescent="0.35">
      <c r="A247" s="3">
        <v>45662</v>
      </c>
      <c r="B247" s="4" t="s">
        <v>45</v>
      </c>
      <c r="C247" s="4" t="s">
        <v>24</v>
      </c>
      <c r="D247" s="4">
        <v>116</v>
      </c>
    </row>
    <row r="248" spans="1:4" ht="15.75" customHeight="1" x14ac:dyDescent="0.35">
      <c r="A248" s="3">
        <v>45731</v>
      </c>
      <c r="B248" s="4" t="s">
        <v>130</v>
      </c>
      <c r="C248" s="4" t="s">
        <v>52</v>
      </c>
      <c r="D248" s="4">
        <v>17</v>
      </c>
    </row>
    <row r="249" spans="1:4" ht="15.75" customHeight="1" x14ac:dyDescent="0.35">
      <c r="A249" s="3">
        <v>45721</v>
      </c>
      <c r="B249" s="4" t="s">
        <v>98</v>
      </c>
      <c r="C249" s="4" t="s">
        <v>22</v>
      </c>
      <c r="D249" s="4">
        <v>16</v>
      </c>
    </row>
    <row r="250" spans="1:4" ht="15.75" customHeight="1" x14ac:dyDescent="0.35">
      <c r="A250" s="3">
        <v>45675</v>
      </c>
      <c r="B250" s="4" t="s">
        <v>84</v>
      </c>
      <c r="C250" s="4" t="s">
        <v>85</v>
      </c>
      <c r="D250" s="4">
        <v>48</v>
      </c>
    </row>
    <row r="251" spans="1:4" ht="15.75" customHeight="1" x14ac:dyDescent="0.35">
      <c r="A251" s="3">
        <v>45718</v>
      </c>
      <c r="B251" s="4" t="s">
        <v>103</v>
      </c>
      <c r="C251" s="4" t="s">
        <v>26</v>
      </c>
      <c r="D251" s="4">
        <v>91</v>
      </c>
    </row>
    <row r="252" spans="1:4" ht="15.75" customHeight="1" x14ac:dyDescent="0.35">
      <c r="A252" s="3">
        <v>45662</v>
      </c>
      <c r="B252" s="4" t="s">
        <v>93</v>
      </c>
      <c r="C252" s="4" t="s">
        <v>82</v>
      </c>
      <c r="D252" s="4">
        <v>137</v>
      </c>
    </row>
    <row r="253" spans="1:4" ht="15.75" customHeight="1" x14ac:dyDescent="0.35">
      <c r="A253" s="3">
        <v>45724</v>
      </c>
      <c r="B253" s="4" t="s">
        <v>71</v>
      </c>
      <c r="C253" s="4" t="s">
        <v>20</v>
      </c>
      <c r="D253" s="4">
        <v>140</v>
      </c>
    </row>
    <row r="254" spans="1:4" ht="15.75" customHeight="1" x14ac:dyDescent="0.35">
      <c r="A254" s="3">
        <v>45687</v>
      </c>
      <c r="B254" s="4" t="s">
        <v>69</v>
      </c>
      <c r="C254" s="4" t="s">
        <v>24</v>
      </c>
      <c r="D254" s="4">
        <v>41</v>
      </c>
    </row>
    <row r="255" spans="1:4" ht="15.75" customHeight="1" x14ac:dyDescent="0.35">
      <c r="A255" s="3">
        <v>45727</v>
      </c>
      <c r="B255" s="4" t="s">
        <v>51</v>
      </c>
      <c r="C255" s="4" t="s">
        <v>52</v>
      </c>
      <c r="D255" s="4">
        <v>94</v>
      </c>
    </row>
    <row r="256" spans="1:4" ht="15.75" customHeight="1" x14ac:dyDescent="0.35">
      <c r="A256" s="3">
        <v>45732</v>
      </c>
      <c r="B256" s="4" t="s">
        <v>108</v>
      </c>
      <c r="C256" s="4" t="s">
        <v>109</v>
      </c>
      <c r="D256" s="4">
        <v>66</v>
      </c>
    </row>
    <row r="257" spans="1:4" ht="15.75" customHeight="1" x14ac:dyDescent="0.35">
      <c r="A257" s="3">
        <v>45720</v>
      </c>
      <c r="B257" s="4" t="s">
        <v>88</v>
      </c>
      <c r="C257" s="4" t="s">
        <v>75</v>
      </c>
      <c r="D257" s="4">
        <v>118</v>
      </c>
    </row>
    <row r="258" spans="1:4" ht="15.75" customHeight="1" x14ac:dyDescent="0.35">
      <c r="A258" s="3">
        <v>45736</v>
      </c>
      <c r="B258" s="4" t="s">
        <v>44</v>
      </c>
      <c r="C258" s="4" t="s">
        <v>20</v>
      </c>
      <c r="D258" s="4">
        <v>140</v>
      </c>
    </row>
    <row r="259" spans="1:4" ht="15.75" customHeight="1" x14ac:dyDescent="0.35">
      <c r="A259" s="3">
        <v>45717</v>
      </c>
      <c r="B259" s="4" t="s">
        <v>34</v>
      </c>
      <c r="C259" s="4" t="s">
        <v>28</v>
      </c>
      <c r="D259" s="4">
        <v>70</v>
      </c>
    </row>
    <row r="260" spans="1:4" ht="15.75" customHeight="1" x14ac:dyDescent="0.35">
      <c r="A260" s="3">
        <v>45728</v>
      </c>
      <c r="B260" s="4" t="s">
        <v>123</v>
      </c>
      <c r="C260" s="4" t="s">
        <v>79</v>
      </c>
      <c r="D260" s="4">
        <v>10</v>
      </c>
    </row>
    <row r="261" spans="1:4" ht="15.75" customHeight="1" x14ac:dyDescent="0.35">
      <c r="A261" s="3">
        <v>45702</v>
      </c>
      <c r="B261" s="4" t="s">
        <v>27</v>
      </c>
      <c r="C261" s="4" t="s">
        <v>28</v>
      </c>
      <c r="D261" s="4">
        <v>40</v>
      </c>
    </row>
    <row r="262" spans="1:4" ht="15.75" customHeight="1" x14ac:dyDescent="0.35">
      <c r="A262" s="3">
        <v>45724</v>
      </c>
      <c r="B262" s="4" t="s">
        <v>51</v>
      </c>
      <c r="C262" s="4" t="s">
        <v>52</v>
      </c>
      <c r="D262" s="4">
        <v>4</v>
      </c>
    </row>
    <row r="263" spans="1:4" ht="15.75" customHeight="1" x14ac:dyDescent="0.35">
      <c r="A263" s="3">
        <v>45674</v>
      </c>
      <c r="B263" s="4" t="s">
        <v>121</v>
      </c>
      <c r="C263" s="4" t="s">
        <v>50</v>
      </c>
      <c r="D263" s="4">
        <v>64</v>
      </c>
    </row>
    <row r="264" spans="1:4" ht="15.75" customHeight="1" x14ac:dyDescent="0.35">
      <c r="A264" s="3">
        <v>45674</v>
      </c>
      <c r="B264" s="4" t="s">
        <v>116</v>
      </c>
      <c r="C264" s="4" t="s">
        <v>82</v>
      </c>
      <c r="D264" s="4">
        <v>114</v>
      </c>
    </row>
    <row r="265" spans="1:4" ht="15.75" customHeight="1" x14ac:dyDescent="0.35">
      <c r="A265" s="3">
        <v>45674</v>
      </c>
      <c r="B265" s="4" t="s">
        <v>91</v>
      </c>
      <c r="C265" s="4" t="s">
        <v>26</v>
      </c>
      <c r="D265" s="4">
        <v>22</v>
      </c>
    </row>
    <row r="266" spans="1:4" ht="15.75" customHeight="1" x14ac:dyDescent="0.35">
      <c r="A266" s="3">
        <v>45673</v>
      </c>
      <c r="B266" s="4" t="s">
        <v>106</v>
      </c>
      <c r="C266" s="4" t="s">
        <v>50</v>
      </c>
      <c r="D266" s="4">
        <v>144</v>
      </c>
    </row>
    <row r="267" spans="1:4" ht="15.75" customHeight="1" x14ac:dyDescent="0.35">
      <c r="A267" s="3">
        <v>45714</v>
      </c>
      <c r="B267" s="4" t="s">
        <v>122</v>
      </c>
      <c r="C267" s="4" t="s">
        <v>26</v>
      </c>
      <c r="D267" s="4">
        <v>68</v>
      </c>
    </row>
    <row r="268" spans="1:4" ht="15.75" customHeight="1" x14ac:dyDescent="0.35">
      <c r="A268" s="3">
        <v>45663</v>
      </c>
      <c r="B268" s="4" t="s">
        <v>120</v>
      </c>
      <c r="C268" s="4" t="s">
        <v>26</v>
      </c>
      <c r="D268" s="4">
        <v>84</v>
      </c>
    </row>
    <row r="269" spans="1:4" ht="15.75" customHeight="1" x14ac:dyDescent="0.35">
      <c r="A269" s="3">
        <v>45667</v>
      </c>
      <c r="B269" s="4" t="s">
        <v>64</v>
      </c>
      <c r="C269" s="4" t="s">
        <v>41</v>
      </c>
      <c r="D269" s="4">
        <v>73</v>
      </c>
    </row>
    <row r="270" spans="1:4" ht="15.75" customHeight="1" x14ac:dyDescent="0.35">
      <c r="A270" s="3">
        <v>45721</v>
      </c>
      <c r="B270" s="4" t="s">
        <v>105</v>
      </c>
      <c r="C270" s="4" t="s">
        <v>79</v>
      </c>
      <c r="D270" s="4">
        <v>56</v>
      </c>
    </row>
    <row r="271" spans="1:4" ht="15.75" customHeight="1" x14ac:dyDescent="0.35">
      <c r="A271" s="3">
        <v>45658</v>
      </c>
      <c r="B271" s="4" t="s">
        <v>65</v>
      </c>
      <c r="C271" s="4" t="s">
        <v>5</v>
      </c>
      <c r="D271" s="4">
        <v>115</v>
      </c>
    </row>
    <row r="272" spans="1:4" ht="15.75" customHeight="1" x14ac:dyDescent="0.35">
      <c r="A272" s="3">
        <v>45672</v>
      </c>
      <c r="B272" s="4" t="s">
        <v>126</v>
      </c>
      <c r="C272" s="4" t="s">
        <v>26</v>
      </c>
      <c r="D272" s="4">
        <v>140</v>
      </c>
    </row>
    <row r="273" spans="1:4" ht="15.75" customHeight="1" x14ac:dyDescent="0.35">
      <c r="A273" s="3">
        <v>45739</v>
      </c>
      <c r="B273" s="4" t="s">
        <v>115</v>
      </c>
      <c r="C273" s="4" t="s">
        <v>50</v>
      </c>
      <c r="D273" s="4">
        <v>102</v>
      </c>
    </row>
    <row r="274" spans="1:4" ht="15.75" customHeight="1" x14ac:dyDescent="0.35">
      <c r="A274" s="3">
        <v>45710</v>
      </c>
      <c r="B274" s="4" t="s">
        <v>131</v>
      </c>
      <c r="C274" s="4" t="s">
        <v>26</v>
      </c>
      <c r="D274" s="4">
        <v>14</v>
      </c>
    </row>
    <row r="275" spans="1:4" ht="15.75" customHeight="1" x14ac:dyDescent="0.35">
      <c r="A275" s="3">
        <v>45728</v>
      </c>
      <c r="B275" s="4" t="s">
        <v>66</v>
      </c>
      <c r="C275" s="4" t="s">
        <v>52</v>
      </c>
      <c r="D275" s="4">
        <v>44</v>
      </c>
    </row>
    <row r="276" spans="1:4" ht="15.75" customHeight="1" x14ac:dyDescent="0.35">
      <c r="A276" s="3">
        <v>45667</v>
      </c>
      <c r="B276" s="4" t="s">
        <v>116</v>
      </c>
      <c r="C276" s="4" t="s">
        <v>82</v>
      </c>
      <c r="D276" s="4">
        <v>103</v>
      </c>
    </row>
    <row r="277" spans="1:4" ht="15.75" customHeight="1" x14ac:dyDescent="0.35">
      <c r="A277" s="3">
        <v>45698</v>
      </c>
      <c r="B277" s="4" t="s">
        <v>128</v>
      </c>
      <c r="C277" s="4" t="s">
        <v>82</v>
      </c>
      <c r="D277" s="4">
        <v>130</v>
      </c>
    </row>
    <row r="278" spans="1:4" ht="15.75" customHeight="1" x14ac:dyDescent="0.35">
      <c r="A278" s="3">
        <v>45695</v>
      </c>
      <c r="B278" s="4" t="s">
        <v>96</v>
      </c>
      <c r="C278" s="4" t="s">
        <v>50</v>
      </c>
      <c r="D278" s="4">
        <v>115</v>
      </c>
    </row>
    <row r="279" spans="1:4" ht="15.75" customHeight="1" x14ac:dyDescent="0.35">
      <c r="A279" s="3">
        <v>45669</v>
      </c>
      <c r="B279" s="4" t="s">
        <v>46</v>
      </c>
      <c r="C279" s="4" t="s">
        <v>20</v>
      </c>
      <c r="D279" s="4">
        <v>61</v>
      </c>
    </row>
    <row r="280" spans="1:4" ht="15.75" customHeight="1" x14ac:dyDescent="0.35">
      <c r="A280" s="3">
        <v>45682</v>
      </c>
      <c r="B280" s="4" t="s">
        <v>132</v>
      </c>
      <c r="C280" s="4" t="s">
        <v>26</v>
      </c>
      <c r="D280" s="4">
        <v>44</v>
      </c>
    </row>
    <row r="281" spans="1:4" ht="15.75" customHeight="1" x14ac:dyDescent="0.35">
      <c r="A281" s="3">
        <v>45709</v>
      </c>
      <c r="B281" s="4" t="s">
        <v>102</v>
      </c>
      <c r="C281" s="4" t="s">
        <v>41</v>
      </c>
      <c r="D281" s="4">
        <v>20</v>
      </c>
    </row>
    <row r="282" spans="1:4" ht="15.75" customHeight="1" x14ac:dyDescent="0.35">
      <c r="A282" s="3">
        <v>45664</v>
      </c>
      <c r="B282" s="4" t="s">
        <v>58</v>
      </c>
      <c r="C282" s="4" t="s">
        <v>24</v>
      </c>
      <c r="D282" s="4">
        <v>147</v>
      </c>
    </row>
    <row r="283" spans="1:4" ht="15.75" customHeight="1" x14ac:dyDescent="0.35">
      <c r="A283" s="3">
        <v>45675</v>
      </c>
      <c r="B283" s="4" t="s">
        <v>132</v>
      </c>
      <c r="C283" s="4" t="s">
        <v>26</v>
      </c>
      <c r="D283" s="4">
        <v>63</v>
      </c>
    </row>
    <row r="284" spans="1:4" ht="15.75" customHeight="1" x14ac:dyDescent="0.35">
      <c r="A284" s="3">
        <v>45740</v>
      </c>
      <c r="B284" s="4" t="s">
        <v>23</v>
      </c>
      <c r="C284" s="4" t="s">
        <v>24</v>
      </c>
      <c r="D284" s="4">
        <v>31</v>
      </c>
    </row>
    <row r="285" spans="1:4" ht="15.75" customHeight="1" x14ac:dyDescent="0.35">
      <c r="A285" s="3">
        <v>45682</v>
      </c>
      <c r="B285" s="4" t="s">
        <v>116</v>
      </c>
      <c r="C285" s="4" t="s">
        <v>82</v>
      </c>
      <c r="D285" s="4">
        <v>78</v>
      </c>
    </row>
    <row r="286" spans="1:4" ht="15.75" customHeight="1" x14ac:dyDescent="0.35">
      <c r="A286" s="3">
        <v>45668</v>
      </c>
      <c r="B286" s="4" t="s">
        <v>23</v>
      </c>
      <c r="C286" s="4" t="s">
        <v>24</v>
      </c>
      <c r="D286" s="4">
        <v>9</v>
      </c>
    </row>
    <row r="287" spans="1:4" ht="15.75" customHeight="1" x14ac:dyDescent="0.35">
      <c r="A287" s="3">
        <v>45671</v>
      </c>
      <c r="B287" s="4" t="s">
        <v>133</v>
      </c>
      <c r="C287" s="4" t="s">
        <v>24</v>
      </c>
      <c r="D287" s="4">
        <v>11</v>
      </c>
    </row>
    <row r="288" spans="1:4" ht="15.75" customHeight="1" x14ac:dyDescent="0.35">
      <c r="A288" s="3">
        <v>45736</v>
      </c>
      <c r="B288" s="4" t="s">
        <v>69</v>
      </c>
      <c r="C288" s="4" t="s">
        <v>24</v>
      </c>
      <c r="D288" s="4">
        <v>103</v>
      </c>
    </row>
    <row r="289" spans="1:4" ht="15.75" customHeight="1" x14ac:dyDescent="0.35">
      <c r="A289" s="3">
        <v>45711</v>
      </c>
      <c r="B289" s="4" t="s">
        <v>10</v>
      </c>
      <c r="C289" s="4" t="s">
        <v>8</v>
      </c>
      <c r="D289" s="4">
        <v>45</v>
      </c>
    </row>
    <row r="290" spans="1:4" ht="15.75" customHeight="1" x14ac:dyDescent="0.35">
      <c r="A290" s="3">
        <v>45732</v>
      </c>
      <c r="B290" s="4" t="s">
        <v>101</v>
      </c>
      <c r="C290" s="4" t="s">
        <v>24</v>
      </c>
      <c r="D290" s="4">
        <v>38</v>
      </c>
    </row>
    <row r="291" spans="1:4" ht="15.75" customHeight="1" x14ac:dyDescent="0.35">
      <c r="A291" s="3">
        <v>45745</v>
      </c>
      <c r="B291" s="4" t="s">
        <v>18</v>
      </c>
      <c r="C291" s="4" t="s">
        <v>13</v>
      </c>
      <c r="D291" s="4">
        <v>73</v>
      </c>
    </row>
    <row r="292" spans="1:4" ht="15.75" customHeight="1" x14ac:dyDescent="0.35">
      <c r="A292" s="3">
        <v>45674</v>
      </c>
      <c r="B292" s="4" t="s">
        <v>33</v>
      </c>
      <c r="C292" s="4" t="s">
        <v>28</v>
      </c>
      <c r="D292" s="4">
        <v>140</v>
      </c>
    </row>
    <row r="293" spans="1:4" ht="15.75" customHeight="1" x14ac:dyDescent="0.35">
      <c r="A293" s="3">
        <v>45672</v>
      </c>
      <c r="B293" s="4" t="s">
        <v>87</v>
      </c>
      <c r="C293" s="4" t="s">
        <v>39</v>
      </c>
      <c r="D293" s="4">
        <v>45</v>
      </c>
    </row>
    <row r="294" spans="1:4" ht="15.75" customHeight="1" x14ac:dyDescent="0.35">
      <c r="A294" s="3">
        <v>45702</v>
      </c>
      <c r="B294" s="4" t="s">
        <v>71</v>
      </c>
      <c r="C294" s="4" t="s">
        <v>20</v>
      </c>
      <c r="D294" s="4">
        <v>126</v>
      </c>
    </row>
    <row r="295" spans="1:4" ht="15.75" customHeight="1" x14ac:dyDescent="0.35">
      <c r="A295" s="3">
        <v>45684</v>
      </c>
      <c r="B295" s="4" t="s">
        <v>64</v>
      </c>
      <c r="C295" s="4" t="s">
        <v>41</v>
      </c>
      <c r="D295" s="4">
        <v>31</v>
      </c>
    </row>
    <row r="296" spans="1:4" ht="15.75" customHeight="1" x14ac:dyDescent="0.35">
      <c r="A296" s="3">
        <v>45711</v>
      </c>
      <c r="B296" s="4" t="s">
        <v>127</v>
      </c>
      <c r="C296" s="4" t="s">
        <v>22</v>
      </c>
      <c r="D296" s="4">
        <v>27</v>
      </c>
    </row>
    <row r="297" spans="1:4" ht="15.75" customHeight="1" x14ac:dyDescent="0.35">
      <c r="A297" s="3">
        <v>45688</v>
      </c>
      <c r="B297" s="4" t="s">
        <v>48</v>
      </c>
      <c r="C297" s="4" t="s">
        <v>22</v>
      </c>
      <c r="D297" s="4">
        <v>104</v>
      </c>
    </row>
    <row r="298" spans="1:4" ht="15.75" customHeight="1" x14ac:dyDescent="0.35">
      <c r="A298" s="3">
        <v>45742</v>
      </c>
      <c r="B298" s="4" t="s">
        <v>69</v>
      </c>
      <c r="C298" s="4" t="s">
        <v>24</v>
      </c>
      <c r="D298" s="4">
        <v>24</v>
      </c>
    </row>
    <row r="299" spans="1:4" ht="15.75" customHeight="1" x14ac:dyDescent="0.35">
      <c r="A299" s="3">
        <v>45732</v>
      </c>
      <c r="B299" s="4" t="s">
        <v>36</v>
      </c>
      <c r="C299" s="4" t="s">
        <v>22</v>
      </c>
      <c r="D299" s="4">
        <v>28</v>
      </c>
    </row>
    <row r="300" spans="1:4" ht="15.75" customHeight="1" x14ac:dyDescent="0.35">
      <c r="A300" s="3">
        <v>45659</v>
      </c>
      <c r="B300" s="4" t="s">
        <v>134</v>
      </c>
      <c r="C300" s="4" t="s">
        <v>85</v>
      </c>
      <c r="D300" s="4">
        <v>18</v>
      </c>
    </row>
    <row r="301" spans="1:4" ht="15.75" customHeight="1" x14ac:dyDescent="0.35">
      <c r="A301" s="3">
        <v>45723</v>
      </c>
      <c r="B301" s="4" t="s">
        <v>126</v>
      </c>
      <c r="C301" s="4" t="s">
        <v>26</v>
      </c>
      <c r="D301" s="4">
        <v>112</v>
      </c>
    </row>
    <row r="302" spans="1:4" ht="15.75" customHeight="1" x14ac:dyDescent="0.35">
      <c r="A302" s="3">
        <v>45671</v>
      </c>
      <c r="B302" s="4" t="s">
        <v>134</v>
      </c>
      <c r="C302" s="4" t="s">
        <v>85</v>
      </c>
      <c r="D302" s="4">
        <v>48</v>
      </c>
    </row>
    <row r="303" spans="1:4" ht="15.75" customHeight="1" x14ac:dyDescent="0.35">
      <c r="A303" s="3">
        <v>45710</v>
      </c>
      <c r="B303" s="4" t="s">
        <v>61</v>
      </c>
      <c r="C303" s="4" t="s">
        <v>62</v>
      </c>
      <c r="D303" s="4">
        <v>132</v>
      </c>
    </row>
    <row r="304" spans="1:4" ht="15.75" customHeight="1" x14ac:dyDescent="0.35">
      <c r="A304" s="3">
        <v>45689</v>
      </c>
      <c r="B304" s="4" t="s">
        <v>63</v>
      </c>
      <c r="C304" s="4" t="s">
        <v>26</v>
      </c>
      <c r="D304" s="4">
        <v>125</v>
      </c>
    </row>
    <row r="305" spans="1:4" ht="15.75" customHeight="1" x14ac:dyDescent="0.35">
      <c r="A305" s="3">
        <v>45734</v>
      </c>
      <c r="B305" s="4" t="s">
        <v>25</v>
      </c>
      <c r="C305" s="4" t="s">
        <v>26</v>
      </c>
      <c r="D305" s="4">
        <v>145</v>
      </c>
    </row>
    <row r="306" spans="1:4" ht="15.75" customHeight="1" x14ac:dyDescent="0.35">
      <c r="A306" s="3">
        <v>45670</v>
      </c>
      <c r="B306" s="4" t="s">
        <v>67</v>
      </c>
      <c r="C306" s="4" t="s">
        <v>39</v>
      </c>
      <c r="D306" s="4">
        <v>74</v>
      </c>
    </row>
    <row r="307" spans="1:4" ht="15.75" customHeight="1" x14ac:dyDescent="0.35">
      <c r="A307" s="3">
        <v>45724</v>
      </c>
      <c r="B307" s="4" t="s">
        <v>35</v>
      </c>
      <c r="C307" s="4" t="s">
        <v>8</v>
      </c>
      <c r="D307" s="4">
        <v>48</v>
      </c>
    </row>
    <row r="308" spans="1:4" ht="15.75" customHeight="1" x14ac:dyDescent="0.35">
      <c r="A308" s="3">
        <v>45739</v>
      </c>
      <c r="B308" s="4" t="s">
        <v>63</v>
      </c>
      <c r="C308" s="4" t="s">
        <v>26</v>
      </c>
      <c r="D308" s="4">
        <v>64</v>
      </c>
    </row>
    <row r="309" spans="1:4" ht="15.75" customHeight="1" x14ac:dyDescent="0.35">
      <c r="A309" s="3">
        <v>45657</v>
      </c>
      <c r="B309" s="4" t="s">
        <v>131</v>
      </c>
      <c r="C309" s="4" t="s">
        <v>26</v>
      </c>
      <c r="D309" s="4">
        <v>15</v>
      </c>
    </row>
    <row r="310" spans="1:4" ht="15.75" customHeight="1" x14ac:dyDescent="0.35">
      <c r="A310" s="3">
        <v>45746</v>
      </c>
      <c r="B310" s="4" t="s">
        <v>135</v>
      </c>
      <c r="C310" s="4" t="s">
        <v>62</v>
      </c>
      <c r="D310" s="4">
        <v>109</v>
      </c>
    </row>
    <row r="311" spans="1:4" ht="15.75" customHeight="1" x14ac:dyDescent="0.35">
      <c r="A311" s="3">
        <v>45670</v>
      </c>
      <c r="B311" s="4" t="s">
        <v>119</v>
      </c>
      <c r="C311" s="4" t="s">
        <v>16</v>
      </c>
      <c r="D311" s="4">
        <v>38</v>
      </c>
    </row>
    <row r="312" spans="1:4" ht="15.75" customHeight="1" x14ac:dyDescent="0.35">
      <c r="A312" s="3">
        <v>45659</v>
      </c>
      <c r="B312" s="4" t="s">
        <v>17</v>
      </c>
      <c r="C312" s="4" t="s">
        <v>16</v>
      </c>
      <c r="D312" s="4">
        <v>143</v>
      </c>
    </row>
    <row r="313" spans="1:4" ht="15.75" customHeight="1" x14ac:dyDescent="0.35">
      <c r="A313" s="3">
        <v>45705</v>
      </c>
      <c r="B313" s="4" t="s">
        <v>94</v>
      </c>
      <c r="C313" s="4" t="s">
        <v>52</v>
      </c>
      <c r="D313" s="4">
        <v>96</v>
      </c>
    </row>
    <row r="314" spans="1:4" ht="15.75" customHeight="1" x14ac:dyDescent="0.35">
      <c r="A314" s="3">
        <v>45686</v>
      </c>
      <c r="B314" s="4" t="s">
        <v>71</v>
      </c>
      <c r="C314" s="4" t="s">
        <v>20</v>
      </c>
      <c r="D314" s="4">
        <v>136</v>
      </c>
    </row>
    <row r="315" spans="1:4" ht="15.75" customHeight="1" x14ac:dyDescent="0.35">
      <c r="A315" s="3">
        <v>45705</v>
      </c>
      <c r="B315" s="4" t="s">
        <v>100</v>
      </c>
      <c r="C315" s="4" t="s">
        <v>79</v>
      </c>
      <c r="D315" s="4">
        <v>74</v>
      </c>
    </row>
    <row r="316" spans="1:4" ht="15.75" customHeight="1" x14ac:dyDescent="0.35">
      <c r="A316" s="3">
        <v>45742</v>
      </c>
      <c r="B316" s="4" t="s">
        <v>30</v>
      </c>
      <c r="C316" s="4" t="s">
        <v>31</v>
      </c>
      <c r="D316" s="4">
        <v>143</v>
      </c>
    </row>
    <row r="317" spans="1:4" ht="15.75" customHeight="1" x14ac:dyDescent="0.35">
      <c r="A317" s="3">
        <v>45672</v>
      </c>
      <c r="B317" s="4" t="s">
        <v>128</v>
      </c>
      <c r="C317" s="4" t="s">
        <v>82</v>
      </c>
      <c r="D317" s="4">
        <v>38</v>
      </c>
    </row>
    <row r="318" spans="1:4" ht="15.75" customHeight="1" x14ac:dyDescent="0.35">
      <c r="A318" s="3">
        <v>45658</v>
      </c>
      <c r="B318" s="4" t="s">
        <v>61</v>
      </c>
      <c r="C318" s="4" t="s">
        <v>62</v>
      </c>
      <c r="D318" s="4">
        <v>117</v>
      </c>
    </row>
    <row r="319" spans="1:4" ht="15.75" customHeight="1" x14ac:dyDescent="0.35">
      <c r="A319" s="3">
        <v>45703</v>
      </c>
      <c r="B319" s="4" t="s">
        <v>136</v>
      </c>
      <c r="C319" s="4" t="s">
        <v>79</v>
      </c>
      <c r="D319" s="4">
        <v>144</v>
      </c>
    </row>
    <row r="320" spans="1:4" ht="15.75" customHeight="1" x14ac:dyDescent="0.35">
      <c r="A320" s="3">
        <v>45743</v>
      </c>
      <c r="B320" s="4" t="s">
        <v>44</v>
      </c>
      <c r="C320" s="4" t="s">
        <v>20</v>
      </c>
      <c r="D320" s="4">
        <v>78</v>
      </c>
    </row>
    <row r="321" spans="1:4" ht="15.75" customHeight="1" x14ac:dyDescent="0.35">
      <c r="A321" s="3">
        <v>45663</v>
      </c>
      <c r="B321" s="4" t="s">
        <v>126</v>
      </c>
      <c r="C321" s="4" t="s">
        <v>26</v>
      </c>
      <c r="D321" s="4">
        <v>124</v>
      </c>
    </row>
    <row r="322" spans="1:4" ht="15.75" customHeight="1" x14ac:dyDescent="0.35">
      <c r="A322" s="3">
        <v>45735</v>
      </c>
      <c r="B322" s="4" t="s">
        <v>35</v>
      </c>
      <c r="C322" s="4" t="s">
        <v>8</v>
      </c>
      <c r="D322" s="4">
        <v>146</v>
      </c>
    </row>
    <row r="323" spans="1:4" ht="15.75" customHeight="1" x14ac:dyDescent="0.35">
      <c r="A323" s="3">
        <v>45692</v>
      </c>
      <c r="B323" s="4" t="s">
        <v>137</v>
      </c>
      <c r="C323" s="4" t="s">
        <v>20</v>
      </c>
      <c r="D323" s="4">
        <v>83</v>
      </c>
    </row>
    <row r="324" spans="1:4" ht="15.75" customHeight="1" x14ac:dyDescent="0.35">
      <c r="A324" s="3">
        <v>45720</v>
      </c>
      <c r="B324" s="4" t="s">
        <v>14</v>
      </c>
      <c r="C324" s="4" t="s">
        <v>8</v>
      </c>
      <c r="D324" s="4">
        <v>69</v>
      </c>
    </row>
    <row r="325" spans="1:4" ht="15.75" customHeight="1" x14ac:dyDescent="0.35">
      <c r="A325" s="3">
        <v>45658</v>
      </c>
      <c r="B325" s="4" t="s">
        <v>89</v>
      </c>
      <c r="C325" s="4" t="s">
        <v>79</v>
      </c>
      <c r="D325" s="4">
        <v>136</v>
      </c>
    </row>
    <row r="326" spans="1:4" ht="15.75" customHeight="1" x14ac:dyDescent="0.35">
      <c r="A326" s="3">
        <v>45717</v>
      </c>
      <c r="B326" s="4" t="s">
        <v>38</v>
      </c>
      <c r="C326" s="4" t="s">
        <v>39</v>
      </c>
      <c r="D326" s="4">
        <v>19</v>
      </c>
    </row>
    <row r="327" spans="1:4" ht="15.75" customHeight="1" x14ac:dyDescent="0.35">
      <c r="A327" s="3">
        <v>45718</v>
      </c>
      <c r="B327" s="4" t="s">
        <v>42</v>
      </c>
      <c r="C327" s="4" t="s">
        <v>24</v>
      </c>
      <c r="D327" s="4">
        <v>97</v>
      </c>
    </row>
    <row r="328" spans="1:4" ht="15.75" customHeight="1" x14ac:dyDescent="0.35">
      <c r="A328" s="3">
        <v>45738</v>
      </c>
      <c r="B328" s="4" t="s">
        <v>103</v>
      </c>
      <c r="C328" s="4" t="s">
        <v>26</v>
      </c>
      <c r="D328" s="4">
        <v>52</v>
      </c>
    </row>
    <row r="329" spans="1:4" ht="15.75" customHeight="1" x14ac:dyDescent="0.35">
      <c r="A329" s="3">
        <v>45708</v>
      </c>
      <c r="B329" s="4" t="s">
        <v>78</v>
      </c>
      <c r="C329" s="4" t="s">
        <v>79</v>
      </c>
      <c r="D329" s="4">
        <v>96</v>
      </c>
    </row>
    <row r="330" spans="1:4" ht="15.75" customHeight="1" x14ac:dyDescent="0.35">
      <c r="A330" s="3">
        <v>45679</v>
      </c>
      <c r="B330" s="4" t="s">
        <v>30</v>
      </c>
      <c r="C330" s="4" t="s">
        <v>31</v>
      </c>
      <c r="D330" s="4">
        <v>18</v>
      </c>
    </row>
    <row r="331" spans="1:4" ht="15.75" customHeight="1" x14ac:dyDescent="0.35">
      <c r="A331" s="3">
        <v>45678</v>
      </c>
      <c r="B331" s="4" t="s">
        <v>105</v>
      </c>
      <c r="C331" s="4" t="s">
        <v>79</v>
      </c>
      <c r="D331" s="4">
        <v>140</v>
      </c>
    </row>
    <row r="332" spans="1:4" ht="15.75" customHeight="1" x14ac:dyDescent="0.35">
      <c r="A332" s="3">
        <v>45735</v>
      </c>
      <c r="B332" s="4" t="s">
        <v>32</v>
      </c>
      <c r="C332" s="4" t="s">
        <v>22</v>
      </c>
      <c r="D332" s="4">
        <v>2</v>
      </c>
    </row>
    <row r="333" spans="1:4" ht="15.75" customHeight="1" x14ac:dyDescent="0.35">
      <c r="A333" s="3">
        <v>45688</v>
      </c>
      <c r="B333" s="4" t="s">
        <v>51</v>
      </c>
      <c r="C333" s="4" t="s">
        <v>52</v>
      </c>
      <c r="D333" s="4">
        <v>137</v>
      </c>
    </row>
    <row r="334" spans="1:4" ht="15.75" customHeight="1" x14ac:dyDescent="0.35">
      <c r="A334" s="3">
        <v>45664</v>
      </c>
      <c r="B334" s="4" t="s">
        <v>46</v>
      </c>
      <c r="C334" s="4" t="s">
        <v>20</v>
      </c>
      <c r="D334" s="4">
        <v>140</v>
      </c>
    </row>
    <row r="335" spans="1:4" ht="15.75" customHeight="1" x14ac:dyDescent="0.35">
      <c r="A335" s="3">
        <v>45675</v>
      </c>
      <c r="B335" s="4" t="s">
        <v>69</v>
      </c>
      <c r="C335" s="4" t="s">
        <v>24</v>
      </c>
      <c r="D335" s="4">
        <v>38</v>
      </c>
    </row>
    <row r="336" spans="1:4" ht="15.75" customHeight="1" x14ac:dyDescent="0.35">
      <c r="A336" s="3">
        <v>45738</v>
      </c>
      <c r="B336" s="4" t="s">
        <v>93</v>
      </c>
      <c r="C336" s="4" t="s">
        <v>82</v>
      </c>
      <c r="D336" s="4">
        <v>143</v>
      </c>
    </row>
    <row r="337" spans="1:4" ht="15.75" customHeight="1" x14ac:dyDescent="0.35">
      <c r="A337" s="3">
        <v>45733</v>
      </c>
      <c r="B337" s="4" t="s">
        <v>138</v>
      </c>
      <c r="C337" s="4" t="s">
        <v>85</v>
      </c>
      <c r="D337" s="4">
        <v>62</v>
      </c>
    </row>
    <row r="338" spans="1:4" ht="15.75" customHeight="1" x14ac:dyDescent="0.35">
      <c r="A338" s="3">
        <v>45730</v>
      </c>
      <c r="B338" s="4" t="s">
        <v>137</v>
      </c>
      <c r="C338" s="4" t="s">
        <v>20</v>
      </c>
      <c r="D338" s="4">
        <v>142</v>
      </c>
    </row>
    <row r="339" spans="1:4" ht="15.75" customHeight="1" x14ac:dyDescent="0.35">
      <c r="A339" s="3">
        <v>45742</v>
      </c>
      <c r="B339" s="4" t="s">
        <v>135</v>
      </c>
      <c r="C339" s="4" t="s">
        <v>62</v>
      </c>
      <c r="D339" s="4">
        <v>72</v>
      </c>
    </row>
    <row r="340" spans="1:4" ht="15.75" customHeight="1" x14ac:dyDescent="0.35">
      <c r="A340" s="3">
        <v>45697</v>
      </c>
      <c r="B340" s="4" t="s">
        <v>44</v>
      </c>
      <c r="C340" s="4" t="s">
        <v>20</v>
      </c>
      <c r="D340" s="4">
        <v>36</v>
      </c>
    </row>
    <row r="341" spans="1:4" ht="15.75" customHeight="1" x14ac:dyDescent="0.35">
      <c r="A341" s="3">
        <v>45669</v>
      </c>
      <c r="B341" s="4" t="s">
        <v>43</v>
      </c>
      <c r="C341" s="4" t="s">
        <v>16</v>
      </c>
      <c r="D341" s="4">
        <v>115</v>
      </c>
    </row>
    <row r="342" spans="1:4" ht="15.75" customHeight="1" x14ac:dyDescent="0.35">
      <c r="A342" s="3">
        <v>45666</v>
      </c>
      <c r="B342" s="4" t="s">
        <v>87</v>
      </c>
      <c r="C342" s="4" t="s">
        <v>39</v>
      </c>
      <c r="D342" s="4">
        <v>111</v>
      </c>
    </row>
    <row r="343" spans="1:4" ht="15.75" customHeight="1" x14ac:dyDescent="0.35">
      <c r="A343" s="3">
        <v>45663</v>
      </c>
      <c r="B343" s="4" t="s">
        <v>81</v>
      </c>
      <c r="C343" s="4" t="s">
        <v>82</v>
      </c>
      <c r="D343" s="4">
        <v>45</v>
      </c>
    </row>
    <row r="344" spans="1:4" ht="15.75" customHeight="1" x14ac:dyDescent="0.35">
      <c r="A344" s="3">
        <v>45657</v>
      </c>
      <c r="B344" s="4" t="s">
        <v>100</v>
      </c>
      <c r="C344" s="4" t="s">
        <v>79</v>
      </c>
      <c r="D344" s="4">
        <v>32</v>
      </c>
    </row>
    <row r="345" spans="1:4" ht="15.75" customHeight="1" x14ac:dyDescent="0.35">
      <c r="A345" s="3">
        <v>45687</v>
      </c>
      <c r="B345" s="4" t="s">
        <v>116</v>
      </c>
      <c r="C345" s="4" t="s">
        <v>82</v>
      </c>
      <c r="D345" s="4">
        <v>140</v>
      </c>
    </row>
    <row r="346" spans="1:4" ht="15.75" customHeight="1" x14ac:dyDescent="0.35">
      <c r="A346" s="3">
        <v>45669</v>
      </c>
      <c r="B346" s="4" t="s">
        <v>67</v>
      </c>
      <c r="C346" s="4" t="s">
        <v>39</v>
      </c>
      <c r="D346" s="4">
        <v>66</v>
      </c>
    </row>
    <row r="347" spans="1:4" ht="15.75" customHeight="1" x14ac:dyDescent="0.35">
      <c r="A347" s="3">
        <v>45665</v>
      </c>
      <c r="B347" s="4" t="s">
        <v>108</v>
      </c>
      <c r="C347" s="4" t="s">
        <v>109</v>
      </c>
      <c r="D347" s="4">
        <v>118</v>
      </c>
    </row>
    <row r="348" spans="1:4" ht="15.75" customHeight="1" x14ac:dyDescent="0.35">
      <c r="A348" s="3">
        <v>45692</v>
      </c>
      <c r="B348" s="4" t="s">
        <v>91</v>
      </c>
      <c r="C348" s="4" t="s">
        <v>26</v>
      </c>
      <c r="D348" s="4">
        <v>87</v>
      </c>
    </row>
    <row r="349" spans="1:4" ht="15.75" customHeight="1" x14ac:dyDescent="0.35">
      <c r="A349" s="3">
        <v>45737</v>
      </c>
      <c r="B349" s="4" t="s">
        <v>80</v>
      </c>
      <c r="C349" s="4" t="s">
        <v>22</v>
      </c>
      <c r="D349" s="4">
        <v>34</v>
      </c>
    </row>
    <row r="350" spans="1:4" ht="15.75" customHeight="1" x14ac:dyDescent="0.35">
      <c r="A350" s="3">
        <v>45693</v>
      </c>
      <c r="B350" s="4" t="s">
        <v>63</v>
      </c>
      <c r="C350" s="4" t="s">
        <v>26</v>
      </c>
      <c r="D350" s="4">
        <v>64</v>
      </c>
    </row>
    <row r="351" spans="1:4" ht="15.75" customHeight="1" x14ac:dyDescent="0.35">
      <c r="A351" s="3">
        <v>45693</v>
      </c>
      <c r="B351" s="4" t="s">
        <v>129</v>
      </c>
      <c r="C351" s="4" t="s">
        <v>41</v>
      </c>
      <c r="D351" s="4">
        <v>30</v>
      </c>
    </row>
    <row r="352" spans="1:4" ht="15.75" customHeight="1" x14ac:dyDescent="0.35">
      <c r="A352" s="3">
        <v>45715</v>
      </c>
      <c r="B352" s="4" t="s">
        <v>136</v>
      </c>
      <c r="C352" s="4" t="s">
        <v>79</v>
      </c>
      <c r="D352" s="4">
        <v>139</v>
      </c>
    </row>
    <row r="353" spans="1:4" ht="15.75" customHeight="1" x14ac:dyDescent="0.35">
      <c r="A353" s="3">
        <v>45726</v>
      </c>
      <c r="B353" s="4" t="s">
        <v>25</v>
      </c>
      <c r="C353" s="4" t="s">
        <v>26</v>
      </c>
      <c r="D353" s="4">
        <v>89</v>
      </c>
    </row>
    <row r="354" spans="1:4" ht="15.75" customHeight="1" x14ac:dyDescent="0.35">
      <c r="A354" s="3">
        <v>45733</v>
      </c>
      <c r="B354" s="4" t="s">
        <v>134</v>
      </c>
      <c r="C354" s="4" t="s">
        <v>85</v>
      </c>
      <c r="D354" s="4">
        <v>84</v>
      </c>
    </row>
    <row r="355" spans="1:4" ht="15.75" customHeight="1" x14ac:dyDescent="0.35">
      <c r="A355" s="3">
        <v>45728</v>
      </c>
      <c r="B355" s="4" t="s">
        <v>11</v>
      </c>
      <c r="C355" s="4" t="s">
        <v>5</v>
      </c>
      <c r="D355" s="4">
        <v>75</v>
      </c>
    </row>
    <row r="356" spans="1:4" ht="15.75" customHeight="1" x14ac:dyDescent="0.35">
      <c r="A356" s="3">
        <v>45665</v>
      </c>
      <c r="B356" s="4" t="s">
        <v>83</v>
      </c>
      <c r="C356" s="4" t="s">
        <v>5</v>
      </c>
      <c r="D356" s="4">
        <v>77</v>
      </c>
    </row>
    <row r="357" spans="1:4" ht="15.75" customHeight="1" x14ac:dyDescent="0.35">
      <c r="A357" s="3">
        <v>45742</v>
      </c>
      <c r="B357" s="4" t="s">
        <v>111</v>
      </c>
      <c r="C357" s="4" t="s">
        <v>109</v>
      </c>
      <c r="D357" s="4">
        <v>79</v>
      </c>
    </row>
    <row r="358" spans="1:4" ht="15.75" customHeight="1" x14ac:dyDescent="0.35">
      <c r="A358" s="3">
        <v>45727</v>
      </c>
      <c r="B358" s="4" t="s">
        <v>139</v>
      </c>
      <c r="C358" s="4" t="s">
        <v>109</v>
      </c>
      <c r="D358" s="4">
        <v>113</v>
      </c>
    </row>
    <row r="359" spans="1:4" ht="15.75" customHeight="1" x14ac:dyDescent="0.35">
      <c r="A359" s="3">
        <v>45733</v>
      </c>
      <c r="B359" s="4" t="s">
        <v>139</v>
      </c>
      <c r="C359" s="4" t="s">
        <v>109</v>
      </c>
      <c r="D359" s="4">
        <v>16</v>
      </c>
    </row>
    <row r="360" spans="1:4" ht="15.75" customHeight="1" x14ac:dyDescent="0.35">
      <c r="A360" s="3">
        <v>45668</v>
      </c>
      <c r="B360" s="4" t="s">
        <v>37</v>
      </c>
      <c r="C360" s="4" t="s">
        <v>8</v>
      </c>
      <c r="D360" s="4">
        <v>121</v>
      </c>
    </row>
    <row r="361" spans="1:4" ht="15.75" customHeight="1" x14ac:dyDescent="0.35">
      <c r="A361" s="3">
        <v>45691</v>
      </c>
      <c r="B361" s="4" t="s">
        <v>124</v>
      </c>
      <c r="C361" s="4" t="s">
        <v>26</v>
      </c>
      <c r="D361" s="4">
        <v>104</v>
      </c>
    </row>
    <row r="362" spans="1:4" ht="15.75" customHeight="1" x14ac:dyDescent="0.35">
      <c r="A362" s="3">
        <v>45723</v>
      </c>
      <c r="B362" s="4" t="s">
        <v>99</v>
      </c>
      <c r="C362" s="4" t="s">
        <v>16</v>
      </c>
      <c r="D362" s="4">
        <v>136</v>
      </c>
    </row>
    <row r="363" spans="1:4" ht="15.75" customHeight="1" x14ac:dyDescent="0.35">
      <c r="A363" s="3">
        <v>45732</v>
      </c>
      <c r="B363" s="4" t="s">
        <v>96</v>
      </c>
      <c r="C363" s="4" t="s">
        <v>50</v>
      </c>
      <c r="D363" s="4">
        <v>80</v>
      </c>
    </row>
    <row r="364" spans="1:4" ht="15.75" customHeight="1" x14ac:dyDescent="0.35">
      <c r="A364" s="3">
        <v>45726</v>
      </c>
      <c r="B364" s="4" t="s">
        <v>63</v>
      </c>
      <c r="C364" s="4" t="s">
        <v>26</v>
      </c>
      <c r="D364" s="4">
        <v>140</v>
      </c>
    </row>
    <row r="365" spans="1:4" ht="15.75" customHeight="1" x14ac:dyDescent="0.35">
      <c r="A365" s="3">
        <v>45672</v>
      </c>
      <c r="B365" s="4" t="s">
        <v>107</v>
      </c>
      <c r="C365" s="4" t="s">
        <v>24</v>
      </c>
      <c r="D365" s="4">
        <v>18</v>
      </c>
    </row>
    <row r="366" spans="1:4" ht="15.75" customHeight="1" x14ac:dyDescent="0.35">
      <c r="A366" s="3">
        <v>45729</v>
      </c>
      <c r="B366" s="4" t="s">
        <v>113</v>
      </c>
      <c r="C366" s="4" t="s">
        <v>85</v>
      </c>
      <c r="D366" s="4">
        <v>148</v>
      </c>
    </row>
    <row r="367" spans="1:4" ht="15.75" customHeight="1" x14ac:dyDescent="0.35">
      <c r="A367" s="3">
        <v>45680</v>
      </c>
      <c r="B367" s="4" t="s">
        <v>118</v>
      </c>
      <c r="C367" s="4" t="s">
        <v>52</v>
      </c>
      <c r="D367" s="4">
        <v>56</v>
      </c>
    </row>
    <row r="368" spans="1:4" ht="15.75" customHeight="1" x14ac:dyDescent="0.35">
      <c r="A368" s="3">
        <v>45675</v>
      </c>
      <c r="B368" s="4" t="s">
        <v>105</v>
      </c>
      <c r="C368" s="4" t="s">
        <v>79</v>
      </c>
      <c r="D368" s="4">
        <v>147</v>
      </c>
    </row>
    <row r="369" spans="1:4" ht="15.75" customHeight="1" x14ac:dyDescent="0.35">
      <c r="A369" s="3">
        <v>45703</v>
      </c>
      <c r="B369" s="4" t="s">
        <v>43</v>
      </c>
      <c r="C369" s="4" t="s">
        <v>16</v>
      </c>
      <c r="D369" s="4">
        <v>27</v>
      </c>
    </row>
    <row r="370" spans="1:4" ht="15.75" customHeight="1" x14ac:dyDescent="0.35">
      <c r="A370" s="3">
        <v>45661</v>
      </c>
      <c r="B370" s="4" t="s">
        <v>73</v>
      </c>
      <c r="C370" s="4" t="s">
        <v>13</v>
      </c>
      <c r="D370" s="4">
        <v>91</v>
      </c>
    </row>
    <row r="371" spans="1:4" ht="15.75" customHeight="1" x14ac:dyDescent="0.35">
      <c r="A371" s="3">
        <v>45661</v>
      </c>
      <c r="B371" s="4" t="s">
        <v>95</v>
      </c>
      <c r="C371" s="4" t="s">
        <v>39</v>
      </c>
      <c r="D371" s="4">
        <v>104</v>
      </c>
    </row>
    <row r="372" spans="1:4" ht="15.75" customHeight="1" x14ac:dyDescent="0.35">
      <c r="A372" s="3">
        <v>45743</v>
      </c>
      <c r="B372" s="4" t="s">
        <v>114</v>
      </c>
      <c r="C372" s="4" t="s">
        <v>75</v>
      </c>
      <c r="D372" s="4">
        <v>69</v>
      </c>
    </row>
    <row r="373" spans="1:4" ht="15.75" customHeight="1" x14ac:dyDescent="0.35">
      <c r="A373" s="3">
        <v>45691</v>
      </c>
      <c r="B373" s="4" t="s">
        <v>61</v>
      </c>
      <c r="C373" s="4" t="s">
        <v>62</v>
      </c>
      <c r="D373" s="4">
        <v>84</v>
      </c>
    </row>
    <row r="374" spans="1:4" ht="15.75" customHeight="1" x14ac:dyDescent="0.35">
      <c r="A374" s="3">
        <v>45681</v>
      </c>
      <c r="B374" s="4" t="s">
        <v>29</v>
      </c>
      <c r="C374" s="4" t="s">
        <v>16</v>
      </c>
      <c r="D374" s="4">
        <v>108</v>
      </c>
    </row>
    <row r="375" spans="1:4" ht="15.75" customHeight="1" x14ac:dyDescent="0.35">
      <c r="A375" s="3">
        <v>45725</v>
      </c>
      <c r="B375" s="4" t="s">
        <v>64</v>
      </c>
      <c r="C375" s="4" t="s">
        <v>41</v>
      </c>
      <c r="D375" s="4">
        <v>44</v>
      </c>
    </row>
    <row r="376" spans="1:4" ht="15.75" customHeight="1" x14ac:dyDescent="0.35">
      <c r="A376" s="3">
        <v>45699</v>
      </c>
      <c r="B376" s="4" t="s">
        <v>11</v>
      </c>
      <c r="C376" s="4" t="s">
        <v>5</v>
      </c>
      <c r="D376" s="4">
        <v>78</v>
      </c>
    </row>
    <row r="377" spans="1:4" ht="15.75" customHeight="1" x14ac:dyDescent="0.35">
      <c r="A377" s="3">
        <v>45714</v>
      </c>
      <c r="B377" s="4" t="s">
        <v>48</v>
      </c>
      <c r="C377" s="4" t="s">
        <v>22</v>
      </c>
      <c r="D377" s="4">
        <v>147</v>
      </c>
    </row>
    <row r="378" spans="1:4" ht="15.75" customHeight="1" x14ac:dyDescent="0.35">
      <c r="A378" s="3">
        <v>45702</v>
      </c>
      <c r="B378" s="4" t="s">
        <v>74</v>
      </c>
      <c r="C378" s="4" t="s">
        <v>75</v>
      </c>
      <c r="D378" s="4">
        <v>135</v>
      </c>
    </row>
    <row r="379" spans="1:4" ht="15.75" customHeight="1" x14ac:dyDescent="0.35">
      <c r="A379" s="3">
        <v>45685</v>
      </c>
      <c r="B379" s="4" t="s">
        <v>19</v>
      </c>
      <c r="C379" s="4" t="s">
        <v>20</v>
      </c>
      <c r="D379" s="4">
        <v>124</v>
      </c>
    </row>
    <row r="380" spans="1:4" ht="15.75" customHeight="1" x14ac:dyDescent="0.35">
      <c r="A380" s="3">
        <v>45679</v>
      </c>
      <c r="B380" s="4" t="s">
        <v>130</v>
      </c>
      <c r="C380" s="4" t="s">
        <v>52</v>
      </c>
      <c r="D380" s="4">
        <v>63</v>
      </c>
    </row>
    <row r="381" spans="1:4" ht="15.75" customHeight="1" x14ac:dyDescent="0.35">
      <c r="A381" s="3">
        <v>45684</v>
      </c>
      <c r="B381" s="4" t="s">
        <v>129</v>
      </c>
      <c r="C381" s="4" t="s">
        <v>41</v>
      </c>
      <c r="D381" s="4">
        <v>68</v>
      </c>
    </row>
    <row r="382" spans="1:4" ht="15.75" customHeight="1" x14ac:dyDescent="0.35">
      <c r="A382" s="3">
        <v>45672</v>
      </c>
      <c r="B382" s="4" t="s">
        <v>113</v>
      </c>
      <c r="C382" s="4" t="s">
        <v>85</v>
      </c>
      <c r="D382" s="4">
        <v>43</v>
      </c>
    </row>
    <row r="383" spans="1:4" ht="15.75" customHeight="1" x14ac:dyDescent="0.35">
      <c r="A383" s="3">
        <v>45690</v>
      </c>
      <c r="B383" s="4" t="s">
        <v>49</v>
      </c>
      <c r="C383" s="4" t="s">
        <v>50</v>
      </c>
      <c r="D383" s="4">
        <v>150</v>
      </c>
    </row>
    <row r="384" spans="1:4" ht="15.75" customHeight="1" x14ac:dyDescent="0.35">
      <c r="A384" s="3">
        <v>45696</v>
      </c>
      <c r="B384" s="4" t="s">
        <v>112</v>
      </c>
      <c r="C384" s="4" t="s">
        <v>31</v>
      </c>
      <c r="D384" s="4">
        <v>22</v>
      </c>
    </row>
    <row r="385" spans="1:4" ht="15.75" customHeight="1" x14ac:dyDescent="0.35">
      <c r="A385" s="3">
        <v>45669</v>
      </c>
      <c r="B385" s="4" t="s">
        <v>9</v>
      </c>
      <c r="C385" s="4" t="s">
        <v>8</v>
      </c>
      <c r="D385" s="4">
        <v>104</v>
      </c>
    </row>
    <row r="386" spans="1:4" ht="15.75" customHeight="1" x14ac:dyDescent="0.35">
      <c r="A386" s="3">
        <v>45658</v>
      </c>
      <c r="B386" s="4" t="s">
        <v>47</v>
      </c>
      <c r="C386" s="4" t="s">
        <v>22</v>
      </c>
      <c r="D386" s="4">
        <v>51</v>
      </c>
    </row>
    <row r="387" spans="1:4" ht="15.75" customHeight="1" x14ac:dyDescent="0.35">
      <c r="A387" s="3">
        <v>45727</v>
      </c>
      <c r="B387" s="4" t="s">
        <v>117</v>
      </c>
      <c r="C387" s="4" t="s">
        <v>28</v>
      </c>
      <c r="D387" s="4">
        <v>138</v>
      </c>
    </row>
    <row r="388" spans="1:4" ht="15.75" customHeight="1" x14ac:dyDescent="0.35">
      <c r="A388" s="3">
        <v>45743</v>
      </c>
      <c r="B388" s="4" t="s">
        <v>114</v>
      </c>
      <c r="C388" s="4" t="s">
        <v>75</v>
      </c>
      <c r="D388" s="4">
        <v>104</v>
      </c>
    </row>
    <row r="389" spans="1:4" ht="15.75" customHeight="1" x14ac:dyDescent="0.35">
      <c r="A389" s="3">
        <v>45700</v>
      </c>
      <c r="B389" s="4" t="s">
        <v>99</v>
      </c>
      <c r="C389" s="4" t="s">
        <v>16</v>
      </c>
      <c r="D389" s="4">
        <v>78</v>
      </c>
    </row>
    <row r="390" spans="1:4" ht="15.75" customHeight="1" x14ac:dyDescent="0.35">
      <c r="A390" s="3">
        <v>45697</v>
      </c>
      <c r="B390" s="4" t="s">
        <v>132</v>
      </c>
      <c r="C390" s="4" t="s">
        <v>26</v>
      </c>
      <c r="D390" s="4">
        <v>91</v>
      </c>
    </row>
    <row r="391" spans="1:4" ht="15.75" customHeight="1" x14ac:dyDescent="0.35">
      <c r="A391" s="3">
        <v>45685</v>
      </c>
      <c r="B391" s="4" t="s">
        <v>51</v>
      </c>
      <c r="C391" s="4" t="s">
        <v>52</v>
      </c>
      <c r="D391" s="4">
        <v>86</v>
      </c>
    </row>
    <row r="392" spans="1:4" ht="15.75" customHeight="1" x14ac:dyDescent="0.35">
      <c r="A392" s="3">
        <v>45671</v>
      </c>
      <c r="B392" s="4" t="s">
        <v>132</v>
      </c>
      <c r="C392" s="4" t="s">
        <v>26</v>
      </c>
      <c r="D392" s="4">
        <v>139</v>
      </c>
    </row>
    <row r="393" spans="1:4" ht="15.75" customHeight="1" x14ac:dyDescent="0.35">
      <c r="A393" s="3">
        <v>45740</v>
      </c>
      <c r="B393" s="4" t="s">
        <v>74</v>
      </c>
      <c r="C393" s="4" t="s">
        <v>75</v>
      </c>
      <c r="D393" s="4">
        <v>67</v>
      </c>
    </row>
    <row r="394" spans="1:4" ht="15.75" customHeight="1" x14ac:dyDescent="0.35">
      <c r="A394" s="3">
        <v>45742</v>
      </c>
      <c r="B394" s="4" t="s">
        <v>127</v>
      </c>
      <c r="C394" s="4" t="s">
        <v>22</v>
      </c>
      <c r="D394" s="4">
        <v>123</v>
      </c>
    </row>
    <row r="395" spans="1:4" ht="15.75" customHeight="1" x14ac:dyDescent="0.35">
      <c r="A395" s="3">
        <v>45720</v>
      </c>
      <c r="B395" s="4" t="s">
        <v>57</v>
      </c>
      <c r="C395" s="4" t="s">
        <v>8</v>
      </c>
      <c r="D395" s="4">
        <v>47</v>
      </c>
    </row>
    <row r="396" spans="1:4" ht="15.75" customHeight="1" x14ac:dyDescent="0.35">
      <c r="A396" s="3">
        <v>45687</v>
      </c>
      <c r="B396" s="4" t="s">
        <v>93</v>
      </c>
      <c r="C396" s="4" t="s">
        <v>82</v>
      </c>
      <c r="D396" s="4">
        <v>135</v>
      </c>
    </row>
    <row r="397" spans="1:4" ht="15.75" customHeight="1" x14ac:dyDescent="0.35">
      <c r="A397" s="3">
        <v>45669</v>
      </c>
      <c r="B397" s="4" t="s">
        <v>25</v>
      </c>
      <c r="C397" s="4" t="s">
        <v>26</v>
      </c>
      <c r="D397" s="4">
        <v>114</v>
      </c>
    </row>
    <row r="398" spans="1:4" ht="15.75" customHeight="1" x14ac:dyDescent="0.35">
      <c r="A398" s="3">
        <v>45697</v>
      </c>
      <c r="B398" s="4" t="s">
        <v>134</v>
      </c>
      <c r="C398" s="4" t="s">
        <v>85</v>
      </c>
      <c r="D398" s="4">
        <v>94</v>
      </c>
    </row>
    <row r="399" spans="1:4" ht="15.75" customHeight="1" x14ac:dyDescent="0.35">
      <c r="A399" s="3">
        <v>45745</v>
      </c>
      <c r="B399" s="4" t="s">
        <v>88</v>
      </c>
      <c r="C399" s="4" t="s">
        <v>75</v>
      </c>
      <c r="D399" s="4">
        <v>16</v>
      </c>
    </row>
    <row r="400" spans="1:4" ht="15.75" customHeight="1" x14ac:dyDescent="0.35">
      <c r="A400" s="3">
        <v>45697</v>
      </c>
      <c r="B400" s="4" t="s">
        <v>121</v>
      </c>
      <c r="C400" s="4" t="s">
        <v>50</v>
      </c>
      <c r="D400" s="4">
        <v>116</v>
      </c>
    </row>
    <row r="401" spans="1:4" ht="15.75" customHeight="1" x14ac:dyDescent="0.35">
      <c r="A401" s="3">
        <v>45714</v>
      </c>
      <c r="B401" s="4" t="s">
        <v>59</v>
      </c>
      <c r="C401" s="4" t="s">
        <v>16</v>
      </c>
      <c r="D401" s="4">
        <v>17</v>
      </c>
    </row>
    <row r="402" spans="1:4" ht="15.75" customHeight="1" x14ac:dyDescent="0.35">
      <c r="A402" s="3">
        <v>45723</v>
      </c>
      <c r="B402" s="4" t="s">
        <v>138</v>
      </c>
      <c r="C402" s="4" t="s">
        <v>85</v>
      </c>
      <c r="D402" s="4">
        <v>69</v>
      </c>
    </row>
    <row r="403" spans="1:4" ht="15.75" customHeight="1" x14ac:dyDescent="0.35">
      <c r="A403" s="3">
        <v>45745</v>
      </c>
      <c r="B403" s="4" t="s">
        <v>123</v>
      </c>
      <c r="C403" s="4" t="s">
        <v>79</v>
      </c>
      <c r="D403" s="4">
        <v>82</v>
      </c>
    </row>
    <row r="404" spans="1:4" ht="15.75" customHeight="1" x14ac:dyDescent="0.35">
      <c r="A404" s="3">
        <v>45713</v>
      </c>
      <c r="B404" s="4" t="s">
        <v>87</v>
      </c>
      <c r="C404" s="4" t="s">
        <v>39</v>
      </c>
      <c r="D404" s="4">
        <v>111</v>
      </c>
    </row>
    <row r="405" spans="1:4" ht="15.75" customHeight="1" x14ac:dyDescent="0.35">
      <c r="A405" s="3">
        <v>45731</v>
      </c>
      <c r="B405" s="4" t="s">
        <v>110</v>
      </c>
      <c r="C405" s="4" t="s">
        <v>8</v>
      </c>
      <c r="D405" s="4">
        <v>142</v>
      </c>
    </row>
    <row r="406" spans="1:4" ht="15.75" customHeight="1" x14ac:dyDescent="0.35">
      <c r="A406" s="3">
        <v>45738</v>
      </c>
      <c r="B406" s="4" t="s">
        <v>116</v>
      </c>
      <c r="C406" s="4" t="s">
        <v>82</v>
      </c>
      <c r="D406" s="4">
        <v>111</v>
      </c>
    </row>
    <row r="407" spans="1:4" ht="15.75" customHeight="1" x14ac:dyDescent="0.35">
      <c r="A407" s="3">
        <v>45708</v>
      </c>
      <c r="B407" s="4" t="s">
        <v>4</v>
      </c>
      <c r="C407" s="4" t="s">
        <v>5</v>
      </c>
      <c r="D407" s="4">
        <v>73</v>
      </c>
    </row>
    <row r="408" spans="1:4" ht="15.75" customHeight="1" x14ac:dyDescent="0.35">
      <c r="A408" s="3">
        <v>45690</v>
      </c>
      <c r="B408" s="4" t="s">
        <v>61</v>
      </c>
      <c r="C408" s="4" t="s">
        <v>62</v>
      </c>
      <c r="D408" s="4">
        <v>117</v>
      </c>
    </row>
    <row r="409" spans="1:4" ht="15.75" customHeight="1" x14ac:dyDescent="0.35">
      <c r="A409" s="3">
        <v>45731</v>
      </c>
      <c r="B409" s="4" t="s">
        <v>106</v>
      </c>
      <c r="C409" s="4" t="s">
        <v>50</v>
      </c>
      <c r="D409" s="4">
        <v>42</v>
      </c>
    </row>
    <row r="410" spans="1:4" ht="15.75" customHeight="1" x14ac:dyDescent="0.35">
      <c r="A410" s="3">
        <v>45714</v>
      </c>
      <c r="B410" s="4" t="s">
        <v>47</v>
      </c>
      <c r="C410" s="4" t="s">
        <v>22</v>
      </c>
      <c r="D410" s="4">
        <v>83</v>
      </c>
    </row>
    <row r="411" spans="1:4" ht="15.75" customHeight="1" x14ac:dyDescent="0.35">
      <c r="A411" s="3">
        <v>45738</v>
      </c>
      <c r="B411" s="4" t="s">
        <v>12</v>
      </c>
      <c r="C411" s="4" t="s">
        <v>13</v>
      </c>
      <c r="D411" s="4">
        <v>100</v>
      </c>
    </row>
    <row r="412" spans="1:4" ht="15.75" customHeight="1" x14ac:dyDescent="0.35">
      <c r="A412" s="3">
        <v>45693</v>
      </c>
      <c r="B412" s="4" t="s">
        <v>131</v>
      </c>
      <c r="C412" s="4" t="s">
        <v>26</v>
      </c>
      <c r="D412" s="4">
        <v>139</v>
      </c>
    </row>
    <row r="413" spans="1:4" ht="15.75" customHeight="1" x14ac:dyDescent="0.35">
      <c r="A413" s="3">
        <v>45746</v>
      </c>
      <c r="B413" s="4" t="s">
        <v>97</v>
      </c>
      <c r="C413" s="4" t="s">
        <v>52</v>
      </c>
      <c r="D413" s="4">
        <v>64</v>
      </c>
    </row>
    <row r="414" spans="1:4" ht="15.75" customHeight="1" x14ac:dyDescent="0.35">
      <c r="A414" s="3">
        <v>45693</v>
      </c>
      <c r="B414" s="4" t="s">
        <v>124</v>
      </c>
      <c r="C414" s="4" t="s">
        <v>26</v>
      </c>
      <c r="D414" s="4">
        <v>102</v>
      </c>
    </row>
    <row r="415" spans="1:4" ht="15.75" customHeight="1" x14ac:dyDescent="0.35">
      <c r="A415" s="3">
        <v>45713</v>
      </c>
      <c r="B415" s="4" t="s">
        <v>15</v>
      </c>
      <c r="C415" s="4" t="s">
        <v>16</v>
      </c>
      <c r="D415" s="4">
        <v>33</v>
      </c>
    </row>
    <row r="416" spans="1:4" ht="15.75" customHeight="1" x14ac:dyDescent="0.35">
      <c r="A416" s="3">
        <v>45738</v>
      </c>
      <c r="B416" s="4" t="s">
        <v>87</v>
      </c>
      <c r="C416" s="4" t="s">
        <v>39</v>
      </c>
      <c r="D416" s="4">
        <v>76</v>
      </c>
    </row>
    <row r="417" spans="1:4" ht="15.75" customHeight="1" x14ac:dyDescent="0.35">
      <c r="A417" s="3">
        <v>45673</v>
      </c>
      <c r="B417" s="4" t="s">
        <v>47</v>
      </c>
      <c r="C417" s="4" t="s">
        <v>22</v>
      </c>
      <c r="D417" s="4">
        <v>52</v>
      </c>
    </row>
    <row r="418" spans="1:4" ht="15.75" customHeight="1" x14ac:dyDescent="0.35">
      <c r="A418" s="3">
        <v>45736</v>
      </c>
      <c r="B418" s="4" t="s">
        <v>140</v>
      </c>
      <c r="C418" s="4" t="s">
        <v>85</v>
      </c>
      <c r="D418" s="4">
        <v>8</v>
      </c>
    </row>
    <row r="419" spans="1:4" ht="15.75" customHeight="1" x14ac:dyDescent="0.35">
      <c r="A419" s="3">
        <v>45722</v>
      </c>
      <c r="B419" s="4" t="s">
        <v>6</v>
      </c>
      <c r="C419" s="4" t="s">
        <v>5</v>
      </c>
      <c r="D419" s="4">
        <v>88</v>
      </c>
    </row>
    <row r="420" spans="1:4" ht="15.75" customHeight="1" x14ac:dyDescent="0.35">
      <c r="A420" s="3">
        <v>45679</v>
      </c>
      <c r="B420" s="4" t="s">
        <v>101</v>
      </c>
      <c r="C420" s="4" t="s">
        <v>24</v>
      </c>
      <c r="D420" s="4">
        <v>109</v>
      </c>
    </row>
    <row r="421" spans="1:4" ht="15.75" customHeight="1" x14ac:dyDescent="0.35">
      <c r="A421" s="3">
        <v>45697</v>
      </c>
      <c r="B421" s="4" t="s">
        <v>119</v>
      </c>
      <c r="C421" s="4" t="s">
        <v>16</v>
      </c>
      <c r="D421" s="4">
        <v>134</v>
      </c>
    </row>
    <row r="422" spans="1:4" ht="15.75" customHeight="1" x14ac:dyDescent="0.35">
      <c r="A422" s="3">
        <v>45659</v>
      </c>
      <c r="B422" s="4" t="s">
        <v>25</v>
      </c>
      <c r="C422" s="4" t="s">
        <v>26</v>
      </c>
      <c r="D422" s="4">
        <v>103</v>
      </c>
    </row>
    <row r="423" spans="1:4" ht="15.75" customHeight="1" x14ac:dyDescent="0.35">
      <c r="A423" s="3">
        <v>45680</v>
      </c>
      <c r="B423" s="4" t="s">
        <v>42</v>
      </c>
      <c r="C423" s="4" t="s">
        <v>24</v>
      </c>
      <c r="D423" s="4">
        <v>135</v>
      </c>
    </row>
    <row r="424" spans="1:4" ht="15.75" customHeight="1" x14ac:dyDescent="0.35">
      <c r="A424" s="3">
        <v>45687</v>
      </c>
      <c r="B424" s="4" t="s">
        <v>91</v>
      </c>
      <c r="C424" s="4" t="s">
        <v>26</v>
      </c>
      <c r="D424" s="4">
        <v>59</v>
      </c>
    </row>
    <row r="425" spans="1:4" ht="15.75" customHeight="1" x14ac:dyDescent="0.35">
      <c r="A425" s="3">
        <v>45691</v>
      </c>
      <c r="B425" s="4" t="s">
        <v>84</v>
      </c>
      <c r="C425" s="4" t="s">
        <v>85</v>
      </c>
      <c r="D425" s="4">
        <v>23</v>
      </c>
    </row>
    <row r="426" spans="1:4" ht="15.75" customHeight="1" x14ac:dyDescent="0.35">
      <c r="A426" s="3">
        <v>45658</v>
      </c>
      <c r="B426" s="4" t="s">
        <v>37</v>
      </c>
      <c r="C426" s="4" t="s">
        <v>8</v>
      </c>
      <c r="D426" s="4">
        <v>75</v>
      </c>
    </row>
    <row r="427" spans="1:4" ht="15.75" customHeight="1" x14ac:dyDescent="0.35">
      <c r="A427" s="3">
        <v>45744</v>
      </c>
      <c r="B427" s="4" t="s">
        <v>14</v>
      </c>
      <c r="C427" s="4" t="s">
        <v>8</v>
      </c>
      <c r="D427" s="4">
        <v>37</v>
      </c>
    </row>
    <row r="428" spans="1:4" ht="15.75" customHeight="1" x14ac:dyDescent="0.35">
      <c r="A428" s="3">
        <v>45697</v>
      </c>
      <c r="B428" s="4" t="s">
        <v>122</v>
      </c>
      <c r="C428" s="4" t="s">
        <v>26</v>
      </c>
      <c r="D428" s="4">
        <v>130</v>
      </c>
    </row>
    <row r="429" spans="1:4" ht="15.75" customHeight="1" x14ac:dyDescent="0.35">
      <c r="A429" s="3">
        <v>45675</v>
      </c>
      <c r="B429" s="4" t="s">
        <v>96</v>
      </c>
      <c r="C429" s="4" t="s">
        <v>50</v>
      </c>
      <c r="D429" s="4">
        <v>150</v>
      </c>
    </row>
    <row r="430" spans="1:4" ht="15.75" customHeight="1" x14ac:dyDescent="0.35">
      <c r="A430" s="3">
        <v>45664</v>
      </c>
      <c r="B430" s="4" t="s">
        <v>7</v>
      </c>
      <c r="C430" s="4" t="s">
        <v>8</v>
      </c>
      <c r="D430" s="4">
        <v>108</v>
      </c>
    </row>
    <row r="431" spans="1:4" ht="15.75" customHeight="1" x14ac:dyDescent="0.35">
      <c r="A431" s="3">
        <v>45676</v>
      </c>
      <c r="B431" s="4" t="s">
        <v>6</v>
      </c>
      <c r="C431" s="4" t="s">
        <v>5</v>
      </c>
      <c r="D431" s="4">
        <v>69</v>
      </c>
    </row>
    <row r="432" spans="1:4" ht="15.75" customHeight="1" x14ac:dyDescent="0.35">
      <c r="A432" s="3">
        <v>45734</v>
      </c>
      <c r="B432" s="4" t="s">
        <v>108</v>
      </c>
      <c r="C432" s="4" t="s">
        <v>109</v>
      </c>
      <c r="D432" s="4">
        <v>103</v>
      </c>
    </row>
    <row r="433" spans="1:4" ht="15.75" customHeight="1" x14ac:dyDescent="0.35">
      <c r="A433" s="3">
        <v>45695</v>
      </c>
      <c r="B433" s="4" t="s">
        <v>87</v>
      </c>
      <c r="C433" s="4" t="s">
        <v>39</v>
      </c>
      <c r="D433" s="4">
        <v>143</v>
      </c>
    </row>
    <row r="434" spans="1:4" ht="15.75" customHeight="1" x14ac:dyDescent="0.35">
      <c r="A434" s="3">
        <v>45737</v>
      </c>
      <c r="B434" s="4" t="s">
        <v>47</v>
      </c>
      <c r="C434" s="4" t="s">
        <v>22</v>
      </c>
      <c r="D434" s="4">
        <v>145</v>
      </c>
    </row>
    <row r="435" spans="1:4" ht="15.75" customHeight="1" x14ac:dyDescent="0.35">
      <c r="A435" s="3">
        <v>45712</v>
      </c>
      <c r="B435" s="4" t="s">
        <v>128</v>
      </c>
      <c r="C435" s="4" t="s">
        <v>82</v>
      </c>
      <c r="D435" s="4">
        <v>34</v>
      </c>
    </row>
    <row r="436" spans="1:4" ht="15.75" customHeight="1" x14ac:dyDescent="0.35">
      <c r="A436" s="3">
        <v>45743</v>
      </c>
      <c r="B436" s="4" t="s">
        <v>137</v>
      </c>
      <c r="C436" s="4" t="s">
        <v>20</v>
      </c>
      <c r="D436" s="4">
        <v>103</v>
      </c>
    </row>
    <row r="437" spans="1:4" ht="15.75" customHeight="1" x14ac:dyDescent="0.35">
      <c r="A437" s="3">
        <v>45730</v>
      </c>
      <c r="B437" s="4" t="s">
        <v>66</v>
      </c>
      <c r="C437" s="4" t="s">
        <v>52</v>
      </c>
      <c r="D437" s="4">
        <v>118</v>
      </c>
    </row>
    <row r="438" spans="1:4" ht="15.75" customHeight="1" x14ac:dyDescent="0.35">
      <c r="A438" s="3">
        <v>45691</v>
      </c>
      <c r="B438" s="4" t="s">
        <v>64</v>
      </c>
      <c r="C438" s="4" t="s">
        <v>41</v>
      </c>
      <c r="D438" s="4">
        <v>29</v>
      </c>
    </row>
    <row r="439" spans="1:4" ht="15.75" customHeight="1" x14ac:dyDescent="0.35">
      <c r="A439" s="3">
        <v>45688</v>
      </c>
      <c r="B439" s="4" t="s">
        <v>4</v>
      </c>
      <c r="C439" s="4" t="s">
        <v>5</v>
      </c>
      <c r="D439" s="4">
        <v>80</v>
      </c>
    </row>
    <row r="440" spans="1:4" ht="15.75" customHeight="1" x14ac:dyDescent="0.35">
      <c r="A440" s="3">
        <v>45684</v>
      </c>
      <c r="B440" s="4" t="s">
        <v>113</v>
      </c>
      <c r="C440" s="4" t="s">
        <v>85</v>
      </c>
      <c r="D440" s="4">
        <v>91</v>
      </c>
    </row>
    <row r="441" spans="1:4" ht="15.75" customHeight="1" x14ac:dyDescent="0.35">
      <c r="A441" s="3">
        <v>45693</v>
      </c>
      <c r="B441" s="4" t="s">
        <v>57</v>
      </c>
      <c r="C441" s="4" t="s">
        <v>8</v>
      </c>
      <c r="D441" s="4">
        <v>87</v>
      </c>
    </row>
    <row r="442" spans="1:4" ht="15.75" customHeight="1" x14ac:dyDescent="0.35">
      <c r="A442" s="3">
        <v>45722</v>
      </c>
      <c r="B442" s="4" t="s">
        <v>70</v>
      </c>
      <c r="C442" s="4" t="s">
        <v>52</v>
      </c>
      <c r="D442" s="4">
        <v>4</v>
      </c>
    </row>
    <row r="443" spans="1:4" ht="15.75" customHeight="1" x14ac:dyDescent="0.35">
      <c r="A443" s="3">
        <v>45699</v>
      </c>
      <c r="B443" s="4" t="s">
        <v>66</v>
      </c>
      <c r="C443" s="4" t="s">
        <v>52</v>
      </c>
      <c r="D443" s="4">
        <v>121</v>
      </c>
    </row>
    <row r="444" spans="1:4" ht="15.75" customHeight="1" x14ac:dyDescent="0.35">
      <c r="A444" s="3">
        <v>45666</v>
      </c>
      <c r="B444" s="4" t="s">
        <v>86</v>
      </c>
      <c r="C444" s="4" t="s">
        <v>26</v>
      </c>
      <c r="D444" s="4">
        <v>9</v>
      </c>
    </row>
    <row r="445" spans="1:4" ht="15.75" customHeight="1" x14ac:dyDescent="0.35">
      <c r="A445" s="3">
        <v>45715</v>
      </c>
      <c r="B445" s="4" t="s">
        <v>58</v>
      </c>
      <c r="C445" s="4" t="s">
        <v>24</v>
      </c>
      <c r="D445" s="4">
        <v>149</v>
      </c>
    </row>
    <row r="446" spans="1:4" ht="15.75" customHeight="1" x14ac:dyDescent="0.35">
      <c r="A446" s="3">
        <v>45672</v>
      </c>
      <c r="B446" s="4" t="s">
        <v>35</v>
      </c>
      <c r="C446" s="4" t="s">
        <v>8</v>
      </c>
      <c r="D446" s="4">
        <v>125</v>
      </c>
    </row>
    <row r="447" spans="1:4" ht="15.75" customHeight="1" x14ac:dyDescent="0.35">
      <c r="A447" s="3">
        <v>45720</v>
      </c>
      <c r="B447" s="4" t="s">
        <v>92</v>
      </c>
      <c r="C447" s="4" t="s">
        <v>82</v>
      </c>
      <c r="D447" s="4">
        <v>145</v>
      </c>
    </row>
    <row r="448" spans="1:4" ht="15.75" customHeight="1" x14ac:dyDescent="0.35">
      <c r="A448" s="3">
        <v>45664</v>
      </c>
      <c r="B448" s="4" t="s">
        <v>12</v>
      </c>
      <c r="C448" s="4" t="s">
        <v>13</v>
      </c>
      <c r="D448" s="4">
        <v>99</v>
      </c>
    </row>
    <row r="449" spans="1:4" ht="15.75" customHeight="1" x14ac:dyDescent="0.35">
      <c r="A449" s="3">
        <v>45725</v>
      </c>
      <c r="B449" s="4" t="s">
        <v>7</v>
      </c>
      <c r="C449" s="4" t="s">
        <v>8</v>
      </c>
      <c r="D449" s="4">
        <v>68</v>
      </c>
    </row>
    <row r="450" spans="1:4" ht="15.75" customHeight="1" x14ac:dyDescent="0.35">
      <c r="A450" s="3">
        <v>45728</v>
      </c>
      <c r="B450" s="4" t="s">
        <v>90</v>
      </c>
      <c r="C450" s="4" t="s">
        <v>39</v>
      </c>
      <c r="D450" s="4">
        <v>6</v>
      </c>
    </row>
    <row r="451" spans="1:4" ht="15.75" customHeight="1" x14ac:dyDescent="0.35">
      <c r="A451" s="3">
        <v>45674</v>
      </c>
      <c r="B451" s="4" t="s">
        <v>120</v>
      </c>
      <c r="C451" s="4" t="s">
        <v>26</v>
      </c>
      <c r="D451" s="4">
        <v>9</v>
      </c>
    </row>
    <row r="452" spans="1:4" ht="15.75" customHeight="1" x14ac:dyDescent="0.35">
      <c r="A452" s="3">
        <v>45698</v>
      </c>
      <c r="B452" s="4" t="s">
        <v>112</v>
      </c>
      <c r="C452" s="4" t="s">
        <v>31</v>
      </c>
      <c r="D452" s="4">
        <v>11</v>
      </c>
    </row>
    <row r="453" spans="1:4" ht="15.75" customHeight="1" x14ac:dyDescent="0.35">
      <c r="A453" s="3">
        <v>45689</v>
      </c>
      <c r="B453" s="4" t="s">
        <v>74</v>
      </c>
      <c r="C453" s="4" t="s">
        <v>75</v>
      </c>
      <c r="D453" s="4">
        <v>73</v>
      </c>
    </row>
    <row r="454" spans="1:4" ht="15.75" customHeight="1" x14ac:dyDescent="0.35">
      <c r="A454" s="3">
        <v>45685</v>
      </c>
      <c r="B454" s="4" t="s">
        <v>131</v>
      </c>
      <c r="C454" s="4" t="s">
        <v>26</v>
      </c>
      <c r="D454" s="4">
        <v>116</v>
      </c>
    </row>
    <row r="455" spans="1:4" ht="15.75" customHeight="1" x14ac:dyDescent="0.35">
      <c r="A455" s="3">
        <v>45732</v>
      </c>
      <c r="B455" s="4" t="s">
        <v>17</v>
      </c>
      <c r="C455" s="4" t="s">
        <v>16</v>
      </c>
      <c r="D455" s="4">
        <v>50</v>
      </c>
    </row>
    <row r="456" spans="1:4" ht="15.75" customHeight="1" x14ac:dyDescent="0.35">
      <c r="A456" s="3">
        <v>45671</v>
      </c>
      <c r="B456" s="4" t="s">
        <v>4</v>
      </c>
      <c r="C456" s="4" t="s">
        <v>5</v>
      </c>
      <c r="D456" s="4">
        <v>144</v>
      </c>
    </row>
    <row r="457" spans="1:4" ht="15.75" customHeight="1" x14ac:dyDescent="0.35">
      <c r="A457" s="3">
        <v>45711</v>
      </c>
      <c r="B457" s="4" t="s">
        <v>112</v>
      </c>
      <c r="C457" s="4" t="s">
        <v>31</v>
      </c>
      <c r="D457" s="4">
        <v>50</v>
      </c>
    </row>
    <row r="458" spans="1:4" ht="15.75" customHeight="1" x14ac:dyDescent="0.35">
      <c r="A458" s="3">
        <v>45734</v>
      </c>
      <c r="B458" s="4" t="s">
        <v>4</v>
      </c>
      <c r="C458" s="4" t="s">
        <v>5</v>
      </c>
      <c r="D458" s="4">
        <v>78</v>
      </c>
    </row>
    <row r="459" spans="1:4" ht="15.75" customHeight="1" x14ac:dyDescent="0.35">
      <c r="A459" s="3">
        <v>45725</v>
      </c>
      <c r="B459" s="4" t="s">
        <v>91</v>
      </c>
      <c r="C459" s="4" t="s">
        <v>26</v>
      </c>
      <c r="D459" s="4">
        <v>19</v>
      </c>
    </row>
    <row r="460" spans="1:4" ht="15.75" customHeight="1" x14ac:dyDescent="0.35">
      <c r="A460" s="3">
        <v>45665</v>
      </c>
      <c r="B460" s="4" t="s">
        <v>90</v>
      </c>
      <c r="C460" s="4" t="s">
        <v>39</v>
      </c>
      <c r="D460" s="4">
        <v>125</v>
      </c>
    </row>
    <row r="461" spans="1:4" ht="15.75" customHeight="1" x14ac:dyDescent="0.35">
      <c r="A461" s="3">
        <v>45686</v>
      </c>
      <c r="B461" s="4" t="s">
        <v>135</v>
      </c>
      <c r="C461" s="4" t="s">
        <v>62</v>
      </c>
      <c r="D461" s="4">
        <v>30</v>
      </c>
    </row>
    <row r="462" spans="1:4" ht="15.75" customHeight="1" x14ac:dyDescent="0.35">
      <c r="A462" s="3">
        <v>45713</v>
      </c>
      <c r="B462" s="4" t="s">
        <v>35</v>
      </c>
      <c r="C462" s="4" t="s">
        <v>8</v>
      </c>
      <c r="D462" s="4">
        <v>6</v>
      </c>
    </row>
    <row r="463" spans="1:4" ht="15.75" customHeight="1" x14ac:dyDescent="0.35">
      <c r="A463" s="3">
        <v>45718</v>
      </c>
      <c r="B463" s="4" t="s">
        <v>68</v>
      </c>
      <c r="C463" s="4" t="s">
        <v>62</v>
      </c>
      <c r="D463" s="4">
        <v>144</v>
      </c>
    </row>
    <row r="464" spans="1:4" ht="15.75" customHeight="1" x14ac:dyDescent="0.35">
      <c r="A464" s="3">
        <v>45736</v>
      </c>
      <c r="B464" s="4" t="s">
        <v>56</v>
      </c>
      <c r="C464" s="4" t="s">
        <v>5</v>
      </c>
      <c r="D464" s="4">
        <v>61</v>
      </c>
    </row>
    <row r="465" spans="1:4" ht="15.75" customHeight="1" x14ac:dyDescent="0.35">
      <c r="A465" s="3">
        <v>45743</v>
      </c>
      <c r="B465" s="4" t="s">
        <v>70</v>
      </c>
      <c r="C465" s="4" t="s">
        <v>52</v>
      </c>
      <c r="D465" s="4">
        <v>138</v>
      </c>
    </row>
    <row r="466" spans="1:4" ht="15.75" customHeight="1" x14ac:dyDescent="0.35">
      <c r="A466" s="3">
        <v>45700</v>
      </c>
      <c r="B466" s="4" t="s">
        <v>97</v>
      </c>
      <c r="C466" s="4" t="s">
        <v>52</v>
      </c>
      <c r="D466" s="4">
        <v>9</v>
      </c>
    </row>
    <row r="467" spans="1:4" ht="15.75" customHeight="1" x14ac:dyDescent="0.35">
      <c r="A467" s="3">
        <v>45663</v>
      </c>
      <c r="B467" s="4" t="s">
        <v>101</v>
      </c>
      <c r="C467" s="4" t="s">
        <v>24</v>
      </c>
      <c r="D467" s="4">
        <v>13</v>
      </c>
    </row>
    <row r="468" spans="1:4" ht="15.75" customHeight="1" x14ac:dyDescent="0.35">
      <c r="A468" s="3">
        <v>45686</v>
      </c>
      <c r="B468" s="4" t="s">
        <v>132</v>
      </c>
      <c r="C468" s="4" t="s">
        <v>26</v>
      </c>
      <c r="D468" s="4">
        <v>102</v>
      </c>
    </row>
    <row r="469" spans="1:4" ht="15.75" customHeight="1" x14ac:dyDescent="0.35">
      <c r="A469" s="3">
        <v>45688</v>
      </c>
      <c r="B469" s="4" t="s">
        <v>42</v>
      </c>
      <c r="C469" s="4" t="s">
        <v>24</v>
      </c>
      <c r="D469" s="4">
        <v>78</v>
      </c>
    </row>
    <row r="470" spans="1:4" ht="15.75" customHeight="1" x14ac:dyDescent="0.35">
      <c r="A470" s="3">
        <v>45661</v>
      </c>
      <c r="B470" s="4" t="s">
        <v>34</v>
      </c>
      <c r="C470" s="4" t="s">
        <v>28</v>
      </c>
      <c r="D470" s="4">
        <v>112</v>
      </c>
    </row>
    <row r="471" spans="1:4" ht="15.75" customHeight="1" x14ac:dyDescent="0.35">
      <c r="A471" s="3">
        <v>45721</v>
      </c>
      <c r="B471" s="4" t="s">
        <v>91</v>
      </c>
      <c r="C471" s="4" t="s">
        <v>26</v>
      </c>
      <c r="D471" s="4">
        <v>107</v>
      </c>
    </row>
    <row r="472" spans="1:4" ht="15.75" customHeight="1" x14ac:dyDescent="0.35">
      <c r="A472" s="3">
        <v>45705</v>
      </c>
      <c r="B472" s="4" t="s">
        <v>63</v>
      </c>
      <c r="C472" s="4" t="s">
        <v>26</v>
      </c>
      <c r="D472" s="4">
        <v>46</v>
      </c>
    </row>
    <row r="473" spans="1:4" ht="15.75" customHeight="1" x14ac:dyDescent="0.35">
      <c r="A473" s="3">
        <v>45734</v>
      </c>
      <c r="B473" s="4" t="s">
        <v>86</v>
      </c>
      <c r="C473" s="4" t="s">
        <v>26</v>
      </c>
      <c r="D473" s="4">
        <v>137</v>
      </c>
    </row>
    <row r="474" spans="1:4" ht="15.75" customHeight="1" x14ac:dyDescent="0.35">
      <c r="A474" s="3">
        <v>45697</v>
      </c>
      <c r="B474" s="4" t="s">
        <v>137</v>
      </c>
      <c r="C474" s="4" t="s">
        <v>20</v>
      </c>
      <c r="D474" s="4">
        <v>90</v>
      </c>
    </row>
    <row r="475" spans="1:4" ht="15.75" customHeight="1" x14ac:dyDescent="0.35">
      <c r="A475" s="3">
        <v>45668</v>
      </c>
      <c r="B475" s="4" t="s">
        <v>83</v>
      </c>
      <c r="C475" s="4" t="s">
        <v>5</v>
      </c>
      <c r="D475" s="4">
        <v>100</v>
      </c>
    </row>
    <row r="476" spans="1:4" ht="15.75" customHeight="1" x14ac:dyDescent="0.35">
      <c r="A476" s="3">
        <v>45707</v>
      </c>
      <c r="B476" s="4" t="s">
        <v>113</v>
      </c>
      <c r="C476" s="4" t="s">
        <v>85</v>
      </c>
      <c r="D476" s="4">
        <v>66</v>
      </c>
    </row>
    <row r="477" spans="1:4" ht="15.75" customHeight="1" x14ac:dyDescent="0.35">
      <c r="A477" s="3">
        <v>45664</v>
      </c>
      <c r="B477" s="4" t="s">
        <v>99</v>
      </c>
      <c r="C477" s="4" t="s">
        <v>16</v>
      </c>
      <c r="D477" s="4">
        <v>30</v>
      </c>
    </row>
    <row r="478" spans="1:4" ht="15.75" customHeight="1" x14ac:dyDescent="0.35">
      <c r="A478" s="3">
        <v>45703</v>
      </c>
      <c r="B478" s="4" t="s">
        <v>67</v>
      </c>
      <c r="C478" s="4" t="s">
        <v>39</v>
      </c>
      <c r="D478" s="4">
        <v>97</v>
      </c>
    </row>
    <row r="479" spans="1:4" ht="15.75" customHeight="1" x14ac:dyDescent="0.35">
      <c r="A479" s="3">
        <v>45699</v>
      </c>
      <c r="B479" s="4" t="s">
        <v>68</v>
      </c>
      <c r="C479" s="4" t="s">
        <v>62</v>
      </c>
      <c r="D479" s="4">
        <v>9</v>
      </c>
    </row>
    <row r="480" spans="1:4" ht="15.75" customHeight="1" x14ac:dyDescent="0.35">
      <c r="A480" s="3">
        <v>45705</v>
      </c>
      <c r="B480" s="4" t="s">
        <v>121</v>
      </c>
      <c r="C480" s="4" t="s">
        <v>50</v>
      </c>
      <c r="D480" s="4">
        <v>13</v>
      </c>
    </row>
    <row r="481" spans="1:4" ht="15.75" customHeight="1" x14ac:dyDescent="0.35">
      <c r="A481" s="3">
        <v>45699</v>
      </c>
      <c r="B481" s="4" t="s">
        <v>15</v>
      </c>
      <c r="C481" s="4" t="s">
        <v>16</v>
      </c>
      <c r="D481" s="4">
        <v>48</v>
      </c>
    </row>
    <row r="482" spans="1:4" ht="15.75" customHeight="1" x14ac:dyDescent="0.35">
      <c r="A482" s="3">
        <v>45695</v>
      </c>
      <c r="B482" s="4" t="s">
        <v>131</v>
      </c>
      <c r="C482" s="4" t="s">
        <v>26</v>
      </c>
      <c r="D482" s="4">
        <v>29</v>
      </c>
    </row>
    <row r="483" spans="1:4" ht="15.75" customHeight="1" x14ac:dyDescent="0.35">
      <c r="A483" s="3">
        <v>45736</v>
      </c>
      <c r="B483" s="4" t="s">
        <v>113</v>
      </c>
      <c r="C483" s="4" t="s">
        <v>85</v>
      </c>
      <c r="D483" s="4">
        <v>10</v>
      </c>
    </row>
    <row r="484" spans="1:4" ht="15.75" customHeight="1" x14ac:dyDescent="0.35">
      <c r="A484" s="3">
        <v>45745</v>
      </c>
      <c r="B484" s="4" t="s">
        <v>12</v>
      </c>
      <c r="C484" s="4" t="s">
        <v>13</v>
      </c>
      <c r="D484" s="4">
        <v>7</v>
      </c>
    </row>
    <row r="485" spans="1:4" ht="15.75" customHeight="1" x14ac:dyDescent="0.35">
      <c r="A485" s="3">
        <v>45678</v>
      </c>
      <c r="B485" s="4" t="s">
        <v>14</v>
      </c>
      <c r="C485" s="4" t="s">
        <v>8</v>
      </c>
      <c r="D485" s="4">
        <v>98</v>
      </c>
    </row>
    <row r="486" spans="1:4" ht="15.75" customHeight="1" x14ac:dyDescent="0.35">
      <c r="A486" s="3">
        <v>45679</v>
      </c>
      <c r="B486" s="4" t="s">
        <v>61</v>
      </c>
      <c r="C486" s="4" t="s">
        <v>62</v>
      </c>
      <c r="D486" s="4">
        <v>106</v>
      </c>
    </row>
    <row r="487" spans="1:4" ht="15.75" customHeight="1" x14ac:dyDescent="0.35">
      <c r="A487" s="3">
        <v>45692</v>
      </c>
      <c r="B487" s="4" t="s">
        <v>90</v>
      </c>
      <c r="C487" s="4" t="s">
        <v>39</v>
      </c>
      <c r="D487" s="4">
        <v>93</v>
      </c>
    </row>
    <row r="488" spans="1:4" ht="15.75" customHeight="1" x14ac:dyDescent="0.35">
      <c r="A488" s="3">
        <v>45712</v>
      </c>
      <c r="B488" s="4" t="s">
        <v>122</v>
      </c>
      <c r="C488" s="4" t="s">
        <v>26</v>
      </c>
      <c r="D488" s="4">
        <v>55</v>
      </c>
    </row>
    <row r="489" spans="1:4" ht="15.75" customHeight="1" x14ac:dyDescent="0.35">
      <c r="A489" s="3">
        <v>45711</v>
      </c>
      <c r="B489" s="4" t="s">
        <v>55</v>
      </c>
      <c r="C489" s="4" t="s">
        <v>24</v>
      </c>
      <c r="D489" s="4">
        <v>114</v>
      </c>
    </row>
    <row r="490" spans="1:4" ht="15.75" customHeight="1" x14ac:dyDescent="0.35">
      <c r="A490" s="3">
        <v>45683</v>
      </c>
      <c r="B490" s="4" t="s">
        <v>81</v>
      </c>
      <c r="C490" s="4" t="s">
        <v>82</v>
      </c>
      <c r="D490" s="4">
        <v>115</v>
      </c>
    </row>
    <row r="491" spans="1:4" ht="15.75" customHeight="1" x14ac:dyDescent="0.35">
      <c r="A491" s="3">
        <v>45658</v>
      </c>
      <c r="B491" s="4" t="s">
        <v>83</v>
      </c>
      <c r="C491" s="4" t="s">
        <v>5</v>
      </c>
      <c r="D491" s="4">
        <v>32</v>
      </c>
    </row>
    <row r="492" spans="1:4" ht="15.75" customHeight="1" x14ac:dyDescent="0.35">
      <c r="A492" s="3">
        <v>45703</v>
      </c>
      <c r="B492" s="4" t="s">
        <v>98</v>
      </c>
      <c r="C492" s="4" t="s">
        <v>22</v>
      </c>
      <c r="D492" s="4">
        <v>11</v>
      </c>
    </row>
    <row r="493" spans="1:4" ht="15.75" customHeight="1" x14ac:dyDescent="0.35">
      <c r="A493" s="3">
        <v>45736</v>
      </c>
      <c r="B493" s="4" t="s">
        <v>36</v>
      </c>
      <c r="C493" s="4" t="s">
        <v>22</v>
      </c>
      <c r="D493" s="4">
        <v>10</v>
      </c>
    </row>
    <row r="494" spans="1:4" ht="15.75" customHeight="1" x14ac:dyDescent="0.35">
      <c r="A494" s="3">
        <v>45682</v>
      </c>
      <c r="B494" s="4" t="s">
        <v>40</v>
      </c>
      <c r="C494" s="4" t="s">
        <v>41</v>
      </c>
      <c r="D494" s="4">
        <v>133</v>
      </c>
    </row>
    <row r="495" spans="1:4" ht="15.75" customHeight="1" x14ac:dyDescent="0.35">
      <c r="A495" s="3">
        <v>45728</v>
      </c>
      <c r="B495" s="4" t="s">
        <v>104</v>
      </c>
      <c r="C495" s="4" t="s">
        <v>5</v>
      </c>
      <c r="D495" s="4">
        <v>90</v>
      </c>
    </row>
    <row r="496" spans="1:4" ht="15.75" customHeight="1" x14ac:dyDescent="0.35">
      <c r="A496" s="3">
        <v>45698</v>
      </c>
      <c r="B496" s="4" t="s">
        <v>49</v>
      </c>
      <c r="C496" s="4" t="s">
        <v>50</v>
      </c>
      <c r="D496" s="4">
        <v>39</v>
      </c>
    </row>
    <row r="497" spans="1:4" ht="15.75" customHeight="1" x14ac:dyDescent="0.35">
      <c r="A497" s="3">
        <v>45676</v>
      </c>
      <c r="B497" s="4" t="s">
        <v>45</v>
      </c>
      <c r="C497" s="4" t="s">
        <v>24</v>
      </c>
      <c r="D497" s="4">
        <v>139</v>
      </c>
    </row>
    <row r="498" spans="1:4" ht="15.75" customHeight="1" x14ac:dyDescent="0.35">
      <c r="A498" s="3">
        <v>45667</v>
      </c>
      <c r="B498" s="4" t="s">
        <v>96</v>
      </c>
      <c r="C498" s="4" t="s">
        <v>50</v>
      </c>
      <c r="D498" s="4">
        <v>52</v>
      </c>
    </row>
    <row r="499" spans="1:4" ht="15.75" customHeight="1" x14ac:dyDescent="0.35">
      <c r="A499" s="3">
        <v>45714</v>
      </c>
      <c r="B499" s="4" t="s">
        <v>103</v>
      </c>
      <c r="C499" s="4" t="s">
        <v>26</v>
      </c>
      <c r="D499" s="4">
        <v>142</v>
      </c>
    </row>
    <row r="500" spans="1:4" ht="15.75" customHeight="1" x14ac:dyDescent="0.35">
      <c r="A500" s="3">
        <v>45679</v>
      </c>
      <c r="B500" s="4" t="s">
        <v>136</v>
      </c>
      <c r="C500" s="4" t="s">
        <v>79</v>
      </c>
      <c r="D500" s="4">
        <v>29</v>
      </c>
    </row>
    <row r="501" spans="1:4" ht="15.75" customHeight="1" x14ac:dyDescent="0.35">
      <c r="A501" s="3">
        <v>45726</v>
      </c>
      <c r="B501" s="4" t="s">
        <v>12</v>
      </c>
      <c r="C501" s="4" t="s">
        <v>13</v>
      </c>
      <c r="D501" s="4">
        <v>2</v>
      </c>
    </row>
    <row r="502" spans="1:4" ht="15.75" customHeight="1" x14ac:dyDescent="0.35">
      <c r="A502" s="5"/>
    </row>
    <row r="503" spans="1:4" ht="15.75" customHeight="1" x14ac:dyDescent="0.35">
      <c r="A503" s="5"/>
    </row>
    <row r="504" spans="1:4" ht="15.75" customHeight="1" x14ac:dyDescent="0.35">
      <c r="A504" s="5"/>
    </row>
    <row r="505" spans="1:4" ht="15.75" customHeight="1" x14ac:dyDescent="0.35">
      <c r="A505" s="5"/>
    </row>
    <row r="506" spans="1:4" ht="15.75" customHeight="1" x14ac:dyDescent="0.35">
      <c r="A506" s="5"/>
    </row>
    <row r="507" spans="1:4" ht="15.75" customHeight="1" x14ac:dyDescent="0.35">
      <c r="A507" s="5"/>
    </row>
    <row r="508" spans="1:4" ht="15.75" customHeight="1" x14ac:dyDescent="0.35">
      <c r="A508" s="5"/>
    </row>
    <row r="509" spans="1:4" ht="15.75" customHeight="1" x14ac:dyDescent="0.35">
      <c r="A509" s="5"/>
    </row>
    <row r="510" spans="1:4" ht="15.75" customHeight="1" x14ac:dyDescent="0.35">
      <c r="A510" s="5"/>
    </row>
    <row r="511" spans="1:4" ht="15.75" customHeight="1" x14ac:dyDescent="0.35">
      <c r="A511" s="5"/>
    </row>
    <row r="512" spans="1:4" ht="15.75" customHeight="1" x14ac:dyDescent="0.35">
      <c r="A512" s="5"/>
    </row>
    <row r="513" spans="1:1" ht="15.75" customHeight="1" x14ac:dyDescent="0.35">
      <c r="A513" s="5"/>
    </row>
    <row r="514" spans="1:1" ht="15.75" customHeight="1" x14ac:dyDescent="0.35">
      <c r="A514" s="5"/>
    </row>
    <row r="515" spans="1:1" ht="15.75" customHeight="1" x14ac:dyDescent="0.35">
      <c r="A515" s="5"/>
    </row>
    <row r="516" spans="1:1" ht="15.75" customHeight="1" x14ac:dyDescent="0.35">
      <c r="A516" s="5"/>
    </row>
    <row r="517" spans="1:1" ht="15.75" customHeight="1" x14ac:dyDescent="0.35">
      <c r="A517" s="5"/>
    </row>
    <row r="518" spans="1:1" ht="15.75" customHeight="1" x14ac:dyDescent="0.35">
      <c r="A518" s="5"/>
    </row>
    <row r="519" spans="1:1" ht="15.75" customHeight="1" x14ac:dyDescent="0.35">
      <c r="A519" s="5"/>
    </row>
    <row r="520" spans="1:1" ht="15.75" customHeight="1" x14ac:dyDescent="0.35">
      <c r="A520" s="5"/>
    </row>
    <row r="521" spans="1:1" ht="15.75" customHeight="1" x14ac:dyDescent="0.35">
      <c r="A521" s="5"/>
    </row>
    <row r="522" spans="1:1" ht="15.75" customHeight="1" x14ac:dyDescent="0.35">
      <c r="A522" s="5"/>
    </row>
    <row r="523" spans="1:1" ht="15.75" customHeight="1" x14ac:dyDescent="0.35">
      <c r="A523" s="5"/>
    </row>
    <row r="524" spans="1:1" ht="15.75" customHeight="1" x14ac:dyDescent="0.35">
      <c r="A524" s="5"/>
    </row>
    <row r="525" spans="1:1" ht="15.75" customHeight="1" x14ac:dyDescent="0.35">
      <c r="A525" s="5"/>
    </row>
    <row r="526" spans="1:1" ht="15.75" customHeight="1" x14ac:dyDescent="0.35">
      <c r="A526" s="5"/>
    </row>
    <row r="527" spans="1:1" ht="15.75" customHeight="1" x14ac:dyDescent="0.35">
      <c r="A527" s="5"/>
    </row>
    <row r="528" spans="1:1" ht="15.75" customHeight="1" x14ac:dyDescent="0.35">
      <c r="A528" s="5"/>
    </row>
    <row r="529" spans="1:1" ht="15.75" customHeight="1" x14ac:dyDescent="0.35">
      <c r="A529" s="5"/>
    </row>
    <row r="530" spans="1:1" ht="15.75" customHeight="1" x14ac:dyDescent="0.35">
      <c r="A530" s="5"/>
    </row>
    <row r="531" spans="1:1" ht="15.75" customHeight="1" x14ac:dyDescent="0.35">
      <c r="A531" s="5"/>
    </row>
    <row r="532" spans="1:1" ht="15.75" customHeight="1" x14ac:dyDescent="0.35">
      <c r="A532" s="5"/>
    </row>
    <row r="533" spans="1:1" ht="15.75" customHeight="1" x14ac:dyDescent="0.35">
      <c r="A533" s="5"/>
    </row>
    <row r="534" spans="1:1" ht="15.75" customHeight="1" x14ac:dyDescent="0.35">
      <c r="A534" s="5"/>
    </row>
    <row r="535" spans="1:1" ht="15.75" customHeight="1" x14ac:dyDescent="0.35">
      <c r="A535" s="5"/>
    </row>
    <row r="536" spans="1:1" ht="15.75" customHeight="1" x14ac:dyDescent="0.35">
      <c r="A536" s="5"/>
    </row>
    <row r="537" spans="1:1" ht="15.75" customHeight="1" x14ac:dyDescent="0.35">
      <c r="A537" s="5"/>
    </row>
    <row r="538" spans="1:1" ht="15.75" customHeight="1" x14ac:dyDescent="0.35">
      <c r="A538" s="5"/>
    </row>
    <row r="539" spans="1:1" ht="15.75" customHeight="1" x14ac:dyDescent="0.35">
      <c r="A539" s="5"/>
    </row>
    <row r="540" spans="1:1" ht="15.75" customHeight="1" x14ac:dyDescent="0.35">
      <c r="A540" s="5"/>
    </row>
    <row r="541" spans="1:1" ht="15.75" customHeight="1" x14ac:dyDescent="0.35">
      <c r="A541" s="5"/>
    </row>
    <row r="542" spans="1:1" ht="15.75" customHeight="1" x14ac:dyDescent="0.35">
      <c r="A542" s="5"/>
    </row>
    <row r="543" spans="1:1" ht="15.75" customHeight="1" x14ac:dyDescent="0.35">
      <c r="A543" s="5"/>
    </row>
    <row r="544" spans="1:1" ht="15.75" customHeight="1" x14ac:dyDescent="0.35">
      <c r="A544" s="5"/>
    </row>
    <row r="545" spans="1:1" ht="15.75" customHeight="1" x14ac:dyDescent="0.35">
      <c r="A545" s="5"/>
    </row>
    <row r="546" spans="1:1" ht="15.75" customHeight="1" x14ac:dyDescent="0.35">
      <c r="A546" s="5"/>
    </row>
    <row r="547" spans="1:1" ht="15.75" customHeight="1" x14ac:dyDescent="0.35">
      <c r="A547" s="5"/>
    </row>
    <row r="548" spans="1:1" ht="15.75" customHeight="1" x14ac:dyDescent="0.35">
      <c r="A548" s="5"/>
    </row>
    <row r="549" spans="1:1" ht="15.75" customHeight="1" x14ac:dyDescent="0.35">
      <c r="A549" s="5"/>
    </row>
    <row r="550" spans="1:1" ht="15.75" customHeight="1" x14ac:dyDescent="0.35">
      <c r="A550" s="5"/>
    </row>
    <row r="551" spans="1:1" ht="15.75" customHeight="1" x14ac:dyDescent="0.35">
      <c r="A551" s="5"/>
    </row>
    <row r="552" spans="1:1" ht="15.75" customHeight="1" x14ac:dyDescent="0.35">
      <c r="A552" s="5"/>
    </row>
    <row r="553" spans="1:1" ht="15.75" customHeight="1" x14ac:dyDescent="0.35">
      <c r="A553" s="5"/>
    </row>
    <row r="554" spans="1:1" ht="15.75" customHeight="1" x14ac:dyDescent="0.35">
      <c r="A554" s="5"/>
    </row>
    <row r="555" spans="1:1" ht="15.75" customHeight="1" x14ac:dyDescent="0.35">
      <c r="A555" s="5"/>
    </row>
    <row r="556" spans="1:1" ht="15.75" customHeight="1" x14ac:dyDescent="0.35">
      <c r="A556" s="5"/>
    </row>
    <row r="557" spans="1:1" ht="15.75" customHeight="1" x14ac:dyDescent="0.35">
      <c r="A557" s="5"/>
    </row>
    <row r="558" spans="1:1" ht="15.75" customHeight="1" x14ac:dyDescent="0.35">
      <c r="A558" s="5"/>
    </row>
    <row r="559" spans="1:1" ht="15.75" customHeight="1" x14ac:dyDescent="0.35">
      <c r="A559" s="5"/>
    </row>
    <row r="560" spans="1:1" ht="15.75" customHeight="1" x14ac:dyDescent="0.35">
      <c r="A560" s="5"/>
    </row>
    <row r="561" spans="1:1" ht="15.75" customHeight="1" x14ac:dyDescent="0.35">
      <c r="A561" s="5"/>
    </row>
    <row r="562" spans="1:1" ht="15.75" customHeight="1" x14ac:dyDescent="0.35">
      <c r="A562" s="5"/>
    </row>
    <row r="563" spans="1:1" ht="15.75" customHeight="1" x14ac:dyDescent="0.35">
      <c r="A563" s="5"/>
    </row>
    <row r="564" spans="1:1" ht="15.75" customHeight="1" x14ac:dyDescent="0.35">
      <c r="A564" s="5"/>
    </row>
    <row r="565" spans="1:1" ht="15.75" customHeight="1" x14ac:dyDescent="0.35">
      <c r="A565" s="5"/>
    </row>
    <row r="566" spans="1:1" ht="15.75" customHeight="1" x14ac:dyDescent="0.35">
      <c r="A566" s="5"/>
    </row>
    <row r="567" spans="1:1" ht="15.75" customHeight="1" x14ac:dyDescent="0.35">
      <c r="A567" s="5"/>
    </row>
    <row r="568" spans="1:1" ht="15.75" customHeight="1" x14ac:dyDescent="0.35">
      <c r="A568" s="5"/>
    </row>
    <row r="569" spans="1:1" ht="15.75" customHeight="1" x14ac:dyDescent="0.35">
      <c r="A569" s="5"/>
    </row>
    <row r="570" spans="1:1" ht="15.75" customHeight="1" x14ac:dyDescent="0.35">
      <c r="A570" s="5"/>
    </row>
    <row r="571" spans="1:1" ht="15.75" customHeight="1" x14ac:dyDescent="0.35">
      <c r="A571" s="5"/>
    </row>
    <row r="572" spans="1:1" ht="15.75" customHeight="1" x14ac:dyDescent="0.35">
      <c r="A572" s="5"/>
    </row>
    <row r="573" spans="1:1" ht="15.75" customHeight="1" x14ac:dyDescent="0.35">
      <c r="A573" s="5"/>
    </row>
    <row r="574" spans="1:1" ht="15.75" customHeight="1" x14ac:dyDescent="0.35">
      <c r="A574" s="5"/>
    </row>
    <row r="575" spans="1:1" ht="15.75" customHeight="1" x14ac:dyDescent="0.35">
      <c r="A575" s="5"/>
    </row>
    <row r="576" spans="1:1" ht="15.75" customHeight="1" x14ac:dyDescent="0.35">
      <c r="A576" s="5"/>
    </row>
    <row r="577" spans="1:1" ht="15.75" customHeight="1" x14ac:dyDescent="0.35">
      <c r="A577" s="5"/>
    </row>
    <row r="578" spans="1:1" ht="15.75" customHeight="1" x14ac:dyDescent="0.35">
      <c r="A578" s="5"/>
    </row>
    <row r="579" spans="1:1" ht="15.75" customHeight="1" x14ac:dyDescent="0.35">
      <c r="A579" s="5"/>
    </row>
    <row r="580" spans="1:1" ht="15.75" customHeight="1" x14ac:dyDescent="0.35">
      <c r="A580" s="5"/>
    </row>
    <row r="581" spans="1:1" ht="15.75" customHeight="1" x14ac:dyDescent="0.35">
      <c r="A581" s="5"/>
    </row>
    <row r="582" spans="1:1" ht="15.75" customHeight="1" x14ac:dyDescent="0.35">
      <c r="A582" s="5"/>
    </row>
    <row r="583" spans="1:1" ht="15.75" customHeight="1" x14ac:dyDescent="0.35">
      <c r="A583" s="5"/>
    </row>
    <row r="584" spans="1:1" ht="15.75" customHeight="1" x14ac:dyDescent="0.35">
      <c r="A584" s="5"/>
    </row>
    <row r="585" spans="1:1" ht="15.75" customHeight="1" x14ac:dyDescent="0.35">
      <c r="A585" s="5"/>
    </row>
    <row r="586" spans="1:1" ht="15.75" customHeight="1" x14ac:dyDescent="0.35">
      <c r="A586" s="5"/>
    </row>
    <row r="587" spans="1:1" ht="15.75" customHeight="1" x14ac:dyDescent="0.35">
      <c r="A587" s="5"/>
    </row>
    <row r="588" spans="1:1" ht="15.75" customHeight="1" x14ac:dyDescent="0.35">
      <c r="A588" s="5"/>
    </row>
    <row r="589" spans="1:1" ht="15.75" customHeight="1" x14ac:dyDescent="0.35">
      <c r="A589" s="5"/>
    </row>
    <row r="590" spans="1:1" ht="15.75" customHeight="1" x14ac:dyDescent="0.35">
      <c r="A590" s="5"/>
    </row>
    <row r="591" spans="1:1" ht="15.75" customHeight="1" x14ac:dyDescent="0.35">
      <c r="A591" s="5"/>
    </row>
    <row r="592" spans="1:1" ht="15.75" customHeight="1" x14ac:dyDescent="0.35">
      <c r="A592" s="5"/>
    </row>
    <row r="593" spans="1:1" ht="15.75" customHeight="1" x14ac:dyDescent="0.35">
      <c r="A593" s="5"/>
    </row>
    <row r="594" spans="1:1" ht="15.75" customHeight="1" x14ac:dyDescent="0.35">
      <c r="A594" s="5"/>
    </row>
    <row r="595" spans="1:1" ht="15.75" customHeight="1" x14ac:dyDescent="0.35">
      <c r="A595" s="5"/>
    </row>
    <row r="596" spans="1:1" ht="15.75" customHeight="1" x14ac:dyDescent="0.35">
      <c r="A596" s="5"/>
    </row>
    <row r="597" spans="1:1" ht="15.75" customHeight="1" x14ac:dyDescent="0.35">
      <c r="A597" s="5"/>
    </row>
    <row r="598" spans="1:1" ht="15.75" customHeight="1" x14ac:dyDescent="0.35">
      <c r="A598" s="5"/>
    </row>
    <row r="599" spans="1:1" ht="15.75" customHeight="1" x14ac:dyDescent="0.35">
      <c r="A599" s="5"/>
    </row>
    <row r="600" spans="1:1" ht="15.75" customHeight="1" x14ac:dyDescent="0.35">
      <c r="A600" s="5"/>
    </row>
    <row r="601" spans="1:1" ht="15.75" customHeight="1" x14ac:dyDescent="0.35">
      <c r="A601" s="5"/>
    </row>
    <row r="602" spans="1:1" ht="15.75" customHeight="1" x14ac:dyDescent="0.35">
      <c r="A602" s="5"/>
    </row>
    <row r="603" spans="1:1" ht="15.75" customHeight="1" x14ac:dyDescent="0.35">
      <c r="A603" s="5"/>
    </row>
    <row r="604" spans="1:1" ht="15.75" customHeight="1" x14ac:dyDescent="0.35">
      <c r="A604" s="5"/>
    </row>
    <row r="605" spans="1:1" ht="15.75" customHeight="1" x14ac:dyDescent="0.35">
      <c r="A605" s="5"/>
    </row>
    <row r="606" spans="1:1" ht="15.75" customHeight="1" x14ac:dyDescent="0.35">
      <c r="A606" s="5"/>
    </row>
    <row r="607" spans="1:1" ht="15.75" customHeight="1" x14ac:dyDescent="0.35">
      <c r="A607" s="5"/>
    </row>
    <row r="608" spans="1:1" ht="15.75" customHeight="1" x14ac:dyDescent="0.35">
      <c r="A608" s="5"/>
    </row>
    <row r="609" spans="1:1" ht="15.75" customHeight="1" x14ac:dyDescent="0.35">
      <c r="A609" s="5"/>
    </row>
    <row r="610" spans="1:1" ht="15.75" customHeight="1" x14ac:dyDescent="0.35">
      <c r="A610" s="5"/>
    </row>
    <row r="611" spans="1:1" ht="15.75" customHeight="1" x14ac:dyDescent="0.35">
      <c r="A611" s="5"/>
    </row>
    <row r="612" spans="1:1" ht="15.75" customHeight="1" x14ac:dyDescent="0.35">
      <c r="A612" s="5"/>
    </row>
    <row r="613" spans="1:1" ht="15.75" customHeight="1" x14ac:dyDescent="0.35">
      <c r="A613" s="5"/>
    </row>
    <row r="614" spans="1:1" ht="15.75" customHeight="1" x14ac:dyDescent="0.35">
      <c r="A614" s="5"/>
    </row>
    <row r="615" spans="1:1" ht="15.75" customHeight="1" x14ac:dyDescent="0.35">
      <c r="A615" s="5"/>
    </row>
    <row r="616" spans="1:1" ht="15.75" customHeight="1" x14ac:dyDescent="0.35">
      <c r="A616" s="5"/>
    </row>
    <row r="617" spans="1:1" ht="15.75" customHeight="1" x14ac:dyDescent="0.35">
      <c r="A617" s="5"/>
    </row>
    <row r="618" spans="1:1" ht="15.75" customHeight="1" x14ac:dyDescent="0.35">
      <c r="A618" s="5"/>
    </row>
    <row r="619" spans="1:1" ht="15.75" customHeight="1" x14ac:dyDescent="0.35">
      <c r="A619" s="5"/>
    </row>
    <row r="620" spans="1:1" ht="15.75" customHeight="1" x14ac:dyDescent="0.35">
      <c r="A620" s="5"/>
    </row>
    <row r="621" spans="1:1" ht="15.75" customHeight="1" x14ac:dyDescent="0.35">
      <c r="A621" s="5"/>
    </row>
    <row r="622" spans="1:1" ht="15.75" customHeight="1" x14ac:dyDescent="0.35">
      <c r="A622" s="5"/>
    </row>
    <row r="623" spans="1:1" ht="15.75" customHeight="1" x14ac:dyDescent="0.35">
      <c r="A623" s="5"/>
    </row>
    <row r="624" spans="1:1" ht="15.75" customHeight="1" x14ac:dyDescent="0.35">
      <c r="A624" s="5"/>
    </row>
    <row r="625" spans="1:1" ht="15.75" customHeight="1" x14ac:dyDescent="0.35">
      <c r="A625" s="5"/>
    </row>
    <row r="626" spans="1:1" ht="15.75" customHeight="1" x14ac:dyDescent="0.35">
      <c r="A626" s="5"/>
    </row>
    <row r="627" spans="1:1" ht="15.75" customHeight="1" x14ac:dyDescent="0.35">
      <c r="A627" s="5"/>
    </row>
    <row r="628" spans="1:1" ht="15.75" customHeight="1" x14ac:dyDescent="0.35">
      <c r="A628" s="5"/>
    </row>
    <row r="629" spans="1:1" ht="15.75" customHeight="1" x14ac:dyDescent="0.35">
      <c r="A629" s="5"/>
    </row>
    <row r="630" spans="1:1" ht="15.75" customHeight="1" x14ac:dyDescent="0.35">
      <c r="A630" s="5"/>
    </row>
    <row r="631" spans="1:1" ht="15.75" customHeight="1" x14ac:dyDescent="0.35">
      <c r="A631" s="5"/>
    </row>
    <row r="632" spans="1:1" ht="15.75" customHeight="1" x14ac:dyDescent="0.35">
      <c r="A632" s="5"/>
    </row>
    <row r="633" spans="1:1" ht="15.75" customHeight="1" x14ac:dyDescent="0.35">
      <c r="A633" s="5"/>
    </row>
    <row r="634" spans="1:1" ht="15.75" customHeight="1" x14ac:dyDescent="0.35">
      <c r="A634" s="5"/>
    </row>
    <row r="635" spans="1:1" ht="15.75" customHeight="1" x14ac:dyDescent="0.35">
      <c r="A635" s="5"/>
    </row>
    <row r="636" spans="1:1" ht="15.75" customHeight="1" x14ac:dyDescent="0.35">
      <c r="A636" s="5"/>
    </row>
    <row r="637" spans="1:1" ht="15.75" customHeight="1" x14ac:dyDescent="0.35">
      <c r="A637" s="5"/>
    </row>
    <row r="638" spans="1:1" ht="15.75" customHeight="1" x14ac:dyDescent="0.35">
      <c r="A638" s="5"/>
    </row>
    <row r="639" spans="1:1" ht="15.75" customHeight="1" x14ac:dyDescent="0.35">
      <c r="A639" s="5"/>
    </row>
    <row r="640" spans="1:1" ht="15.75" customHeight="1" x14ac:dyDescent="0.35">
      <c r="A640" s="5"/>
    </row>
    <row r="641" spans="1:1" ht="15.75" customHeight="1" x14ac:dyDescent="0.35">
      <c r="A641" s="5"/>
    </row>
    <row r="642" spans="1:1" ht="15.75" customHeight="1" x14ac:dyDescent="0.35">
      <c r="A642" s="5"/>
    </row>
    <row r="643" spans="1:1" ht="15.75" customHeight="1" x14ac:dyDescent="0.35">
      <c r="A643" s="5"/>
    </row>
    <row r="644" spans="1:1" ht="15.75" customHeight="1" x14ac:dyDescent="0.35">
      <c r="A644" s="5"/>
    </row>
    <row r="645" spans="1:1" ht="15.75" customHeight="1" x14ac:dyDescent="0.35">
      <c r="A645" s="5"/>
    </row>
    <row r="646" spans="1:1" ht="15.75" customHeight="1" x14ac:dyDescent="0.35">
      <c r="A646" s="5"/>
    </row>
    <row r="647" spans="1:1" ht="15.75" customHeight="1" x14ac:dyDescent="0.35">
      <c r="A647" s="5"/>
    </row>
    <row r="648" spans="1:1" ht="15.75" customHeight="1" x14ac:dyDescent="0.35">
      <c r="A648" s="5"/>
    </row>
    <row r="649" spans="1:1" ht="15.75" customHeight="1" x14ac:dyDescent="0.35">
      <c r="A649" s="5"/>
    </row>
    <row r="650" spans="1:1" ht="15.75" customHeight="1" x14ac:dyDescent="0.35">
      <c r="A650" s="5"/>
    </row>
    <row r="651" spans="1:1" ht="15.75" customHeight="1" x14ac:dyDescent="0.35">
      <c r="A651" s="5"/>
    </row>
    <row r="652" spans="1:1" ht="15.75" customHeight="1" x14ac:dyDescent="0.35">
      <c r="A652" s="5"/>
    </row>
    <row r="653" spans="1:1" ht="15.75" customHeight="1" x14ac:dyDescent="0.35">
      <c r="A653" s="5"/>
    </row>
    <row r="654" spans="1:1" ht="15.75" customHeight="1" x14ac:dyDescent="0.35">
      <c r="A654" s="5"/>
    </row>
    <row r="655" spans="1:1" ht="15.75" customHeight="1" x14ac:dyDescent="0.35">
      <c r="A655" s="5"/>
    </row>
    <row r="656" spans="1:1" ht="15.75" customHeight="1" x14ac:dyDescent="0.35">
      <c r="A656" s="5"/>
    </row>
    <row r="657" spans="1:1" ht="15.75" customHeight="1" x14ac:dyDescent="0.35">
      <c r="A657" s="5"/>
    </row>
    <row r="658" spans="1:1" ht="15.75" customHeight="1" x14ac:dyDescent="0.35">
      <c r="A658" s="5"/>
    </row>
    <row r="659" spans="1:1" ht="15.75" customHeight="1" x14ac:dyDescent="0.35">
      <c r="A659" s="5"/>
    </row>
    <row r="660" spans="1:1" ht="15.75" customHeight="1" x14ac:dyDescent="0.35">
      <c r="A660" s="5"/>
    </row>
    <row r="661" spans="1:1" ht="15.75" customHeight="1" x14ac:dyDescent="0.35">
      <c r="A661" s="5"/>
    </row>
    <row r="662" spans="1:1" ht="15.75" customHeight="1" x14ac:dyDescent="0.35">
      <c r="A662" s="5"/>
    </row>
    <row r="663" spans="1:1" ht="15.75" customHeight="1" x14ac:dyDescent="0.35">
      <c r="A663" s="5"/>
    </row>
    <row r="664" spans="1:1" ht="15.75" customHeight="1" x14ac:dyDescent="0.35">
      <c r="A664" s="5"/>
    </row>
    <row r="665" spans="1:1" ht="15.75" customHeight="1" x14ac:dyDescent="0.35">
      <c r="A665" s="5"/>
    </row>
    <row r="666" spans="1:1" ht="15.75" customHeight="1" x14ac:dyDescent="0.35">
      <c r="A666" s="5"/>
    </row>
    <row r="667" spans="1:1" ht="15.75" customHeight="1" x14ac:dyDescent="0.35">
      <c r="A667" s="5"/>
    </row>
    <row r="668" spans="1:1" ht="15.75" customHeight="1" x14ac:dyDescent="0.35">
      <c r="A668" s="5"/>
    </row>
    <row r="669" spans="1:1" ht="15.75" customHeight="1" x14ac:dyDescent="0.35">
      <c r="A669" s="5"/>
    </row>
    <row r="670" spans="1:1" ht="15.75" customHeight="1" x14ac:dyDescent="0.35">
      <c r="A670" s="5"/>
    </row>
    <row r="671" spans="1:1" ht="15.75" customHeight="1" x14ac:dyDescent="0.35">
      <c r="A671" s="5"/>
    </row>
    <row r="672" spans="1:1" ht="15.75" customHeight="1" x14ac:dyDescent="0.35">
      <c r="A672" s="5"/>
    </row>
    <row r="673" spans="1:1" ht="15.75" customHeight="1" x14ac:dyDescent="0.35">
      <c r="A673" s="5"/>
    </row>
    <row r="674" spans="1:1" ht="15.75" customHeight="1" x14ac:dyDescent="0.35">
      <c r="A674" s="5"/>
    </row>
    <row r="675" spans="1:1" ht="15.75" customHeight="1" x14ac:dyDescent="0.35">
      <c r="A675" s="5"/>
    </row>
    <row r="676" spans="1:1" ht="15.75" customHeight="1" x14ac:dyDescent="0.35">
      <c r="A676" s="5"/>
    </row>
    <row r="677" spans="1:1" ht="15.75" customHeight="1" x14ac:dyDescent="0.35">
      <c r="A677" s="5"/>
    </row>
    <row r="678" spans="1:1" ht="15.75" customHeight="1" x14ac:dyDescent="0.35">
      <c r="A678" s="5"/>
    </row>
    <row r="679" spans="1:1" ht="15.75" customHeight="1" x14ac:dyDescent="0.35">
      <c r="A679" s="5"/>
    </row>
    <row r="680" spans="1:1" ht="15.75" customHeight="1" x14ac:dyDescent="0.35">
      <c r="A680" s="5"/>
    </row>
    <row r="681" spans="1:1" ht="15.75" customHeight="1" x14ac:dyDescent="0.35">
      <c r="A681" s="5"/>
    </row>
    <row r="682" spans="1:1" ht="15.75" customHeight="1" x14ac:dyDescent="0.35">
      <c r="A682" s="5"/>
    </row>
    <row r="683" spans="1:1" ht="15.75" customHeight="1" x14ac:dyDescent="0.35">
      <c r="A683" s="5"/>
    </row>
    <row r="684" spans="1:1" ht="15.75" customHeight="1" x14ac:dyDescent="0.35">
      <c r="A684" s="5"/>
    </row>
    <row r="685" spans="1:1" ht="15.75" customHeight="1" x14ac:dyDescent="0.35">
      <c r="A685" s="5"/>
    </row>
    <row r="686" spans="1:1" ht="15.75" customHeight="1" x14ac:dyDescent="0.35">
      <c r="A686" s="5"/>
    </row>
    <row r="687" spans="1:1" ht="15.75" customHeight="1" x14ac:dyDescent="0.35">
      <c r="A687" s="5"/>
    </row>
    <row r="688" spans="1:1" ht="15.75" customHeight="1" x14ac:dyDescent="0.35">
      <c r="A688" s="5"/>
    </row>
    <row r="689" spans="1:1" ht="15.75" customHeight="1" x14ac:dyDescent="0.35">
      <c r="A689" s="5"/>
    </row>
    <row r="690" spans="1:1" ht="15.75" customHeight="1" x14ac:dyDescent="0.35">
      <c r="A690" s="5"/>
    </row>
    <row r="691" spans="1:1" ht="15.75" customHeight="1" x14ac:dyDescent="0.35">
      <c r="A691" s="5"/>
    </row>
    <row r="692" spans="1:1" ht="15.75" customHeight="1" x14ac:dyDescent="0.35">
      <c r="A692" s="5"/>
    </row>
    <row r="693" spans="1:1" ht="15.75" customHeight="1" x14ac:dyDescent="0.35">
      <c r="A693" s="5"/>
    </row>
    <row r="694" spans="1:1" ht="15.75" customHeight="1" x14ac:dyDescent="0.35">
      <c r="A694" s="5"/>
    </row>
    <row r="695" spans="1:1" ht="15.75" customHeight="1" x14ac:dyDescent="0.35">
      <c r="A695" s="5"/>
    </row>
    <row r="696" spans="1:1" ht="15.75" customHeight="1" x14ac:dyDescent="0.35">
      <c r="A696" s="5"/>
    </row>
    <row r="697" spans="1:1" ht="15.75" customHeight="1" x14ac:dyDescent="0.35">
      <c r="A697" s="5"/>
    </row>
    <row r="698" spans="1:1" ht="15.75" customHeight="1" x14ac:dyDescent="0.35">
      <c r="A698" s="5"/>
    </row>
    <row r="699" spans="1:1" ht="15.75" customHeight="1" x14ac:dyDescent="0.35">
      <c r="A699" s="5"/>
    </row>
    <row r="700" spans="1:1" ht="15.75" customHeight="1" x14ac:dyDescent="0.35">
      <c r="A700" s="5"/>
    </row>
    <row r="701" spans="1:1" ht="15.75" customHeight="1" x14ac:dyDescent="0.35">
      <c r="A701" s="5"/>
    </row>
    <row r="702" spans="1:1" ht="15.75" customHeight="1" x14ac:dyDescent="0.35">
      <c r="A702" s="5"/>
    </row>
    <row r="703" spans="1:1" ht="15.75" customHeight="1" x14ac:dyDescent="0.35">
      <c r="A703" s="5"/>
    </row>
    <row r="704" spans="1:1" ht="15.75" customHeight="1" x14ac:dyDescent="0.35">
      <c r="A704" s="5"/>
    </row>
    <row r="705" spans="1:1" ht="15.75" customHeight="1" x14ac:dyDescent="0.35">
      <c r="A705" s="5"/>
    </row>
    <row r="706" spans="1:1" ht="15.75" customHeight="1" x14ac:dyDescent="0.35">
      <c r="A706" s="5"/>
    </row>
    <row r="707" spans="1:1" ht="15.75" customHeight="1" x14ac:dyDescent="0.35">
      <c r="A707" s="5"/>
    </row>
    <row r="708" spans="1:1" ht="15.75" customHeight="1" x14ac:dyDescent="0.35">
      <c r="A708" s="5"/>
    </row>
    <row r="709" spans="1:1" ht="15.75" customHeight="1" x14ac:dyDescent="0.35">
      <c r="A709" s="5"/>
    </row>
    <row r="710" spans="1:1" ht="15.75" customHeight="1" x14ac:dyDescent="0.35">
      <c r="A710" s="5"/>
    </row>
    <row r="711" spans="1:1" ht="15.75" customHeight="1" x14ac:dyDescent="0.35">
      <c r="A711" s="5"/>
    </row>
    <row r="712" spans="1:1" ht="15.75" customHeight="1" x14ac:dyDescent="0.35">
      <c r="A712" s="5"/>
    </row>
    <row r="713" spans="1:1" ht="15.75" customHeight="1" x14ac:dyDescent="0.35">
      <c r="A713" s="5"/>
    </row>
    <row r="714" spans="1:1" ht="15.75" customHeight="1" x14ac:dyDescent="0.35">
      <c r="A714" s="5"/>
    </row>
    <row r="715" spans="1:1" ht="15.75" customHeight="1" x14ac:dyDescent="0.35">
      <c r="A715" s="5"/>
    </row>
    <row r="716" spans="1:1" ht="15.75" customHeight="1" x14ac:dyDescent="0.35">
      <c r="A716" s="5"/>
    </row>
    <row r="717" spans="1:1" ht="15.75" customHeight="1" x14ac:dyDescent="0.35">
      <c r="A717" s="5"/>
    </row>
    <row r="718" spans="1:1" ht="15.75" customHeight="1" x14ac:dyDescent="0.35">
      <c r="A718" s="5"/>
    </row>
    <row r="719" spans="1:1" ht="15.75" customHeight="1" x14ac:dyDescent="0.35">
      <c r="A719" s="5"/>
    </row>
    <row r="720" spans="1:1" ht="15.75" customHeight="1" x14ac:dyDescent="0.35">
      <c r="A720" s="5"/>
    </row>
    <row r="721" spans="1:1" ht="15.75" customHeight="1" x14ac:dyDescent="0.35">
      <c r="A721" s="5"/>
    </row>
    <row r="722" spans="1:1" ht="15.75" customHeight="1" x14ac:dyDescent="0.35">
      <c r="A722" s="5"/>
    </row>
    <row r="723" spans="1:1" ht="15.75" customHeight="1" x14ac:dyDescent="0.35">
      <c r="A723" s="5"/>
    </row>
    <row r="724" spans="1:1" ht="15.75" customHeight="1" x14ac:dyDescent="0.35">
      <c r="A724" s="5"/>
    </row>
    <row r="725" spans="1:1" ht="15.75" customHeight="1" x14ac:dyDescent="0.35">
      <c r="A725" s="5"/>
    </row>
    <row r="726" spans="1:1" ht="15.75" customHeight="1" x14ac:dyDescent="0.35">
      <c r="A726" s="5"/>
    </row>
    <row r="727" spans="1:1" ht="15.75" customHeight="1" x14ac:dyDescent="0.35">
      <c r="A727" s="5"/>
    </row>
    <row r="728" spans="1:1" ht="15.75" customHeight="1" x14ac:dyDescent="0.35">
      <c r="A728" s="5"/>
    </row>
    <row r="729" spans="1:1" ht="15.75" customHeight="1" x14ac:dyDescent="0.35">
      <c r="A729" s="5"/>
    </row>
    <row r="730" spans="1:1" ht="15.75" customHeight="1" x14ac:dyDescent="0.35">
      <c r="A730" s="5"/>
    </row>
    <row r="731" spans="1:1" ht="15.75" customHeight="1" x14ac:dyDescent="0.35">
      <c r="A731" s="5"/>
    </row>
    <row r="732" spans="1:1" ht="15.75" customHeight="1" x14ac:dyDescent="0.35">
      <c r="A732" s="5"/>
    </row>
    <row r="733" spans="1:1" ht="15.75" customHeight="1" x14ac:dyDescent="0.35">
      <c r="A733" s="5"/>
    </row>
    <row r="734" spans="1:1" ht="15.75" customHeight="1" x14ac:dyDescent="0.35">
      <c r="A734" s="5"/>
    </row>
    <row r="735" spans="1:1" ht="15.75" customHeight="1" x14ac:dyDescent="0.35">
      <c r="A735" s="5"/>
    </row>
    <row r="736" spans="1:1" ht="15.75" customHeight="1" x14ac:dyDescent="0.35">
      <c r="A736" s="5"/>
    </row>
    <row r="737" spans="1:1" ht="15.75" customHeight="1" x14ac:dyDescent="0.35">
      <c r="A737" s="5"/>
    </row>
    <row r="738" spans="1:1" ht="15.75" customHeight="1" x14ac:dyDescent="0.35">
      <c r="A738" s="5"/>
    </row>
    <row r="739" spans="1:1" ht="15.75" customHeight="1" x14ac:dyDescent="0.35">
      <c r="A739" s="5"/>
    </row>
    <row r="740" spans="1:1" ht="15.75" customHeight="1" x14ac:dyDescent="0.35">
      <c r="A740" s="5"/>
    </row>
    <row r="741" spans="1:1" ht="15.75" customHeight="1" x14ac:dyDescent="0.35">
      <c r="A741" s="5"/>
    </row>
    <row r="742" spans="1:1" ht="15.75" customHeight="1" x14ac:dyDescent="0.35">
      <c r="A742" s="5"/>
    </row>
    <row r="743" spans="1:1" ht="15.75" customHeight="1" x14ac:dyDescent="0.35">
      <c r="A743" s="5"/>
    </row>
    <row r="744" spans="1:1" ht="15.75" customHeight="1" x14ac:dyDescent="0.35">
      <c r="A744" s="5"/>
    </row>
    <row r="745" spans="1:1" ht="15.75" customHeight="1" x14ac:dyDescent="0.35">
      <c r="A745" s="5"/>
    </row>
    <row r="746" spans="1:1" ht="15.75" customHeight="1" x14ac:dyDescent="0.35">
      <c r="A746" s="5"/>
    </row>
    <row r="747" spans="1:1" ht="15.75" customHeight="1" x14ac:dyDescent="0.35">
      <c r="A747" s="5"/>
    </row>
    <row r="748" spans="1:1" ht="15.75" customHeight="1" x14ac:dyDescent="0.35">
      <c r="A748" s="5"/>
    </row>
    <row r="749" spans="1:1" ht="15.75" customHeight="1" x14ac:dyDescent="0.35">
      <c r="A749" s="5"/>
    </row>
    <row r="750" spans="1:1" ht="15.75" customHeight="1" x14ac:dyDescent="0.35">
      <c r="A750" s="5"/>
    </row>
    <row r="751" spans="1:1" ht="15.75" customHeight="1" x14ac:dyDescent="0.35">
      <c r="A751" s="5"/>
    </row>
    <row r="752" spans="1:1" ht="15.75" customHeight="1" x14ac:dyDescent="0.35">
      <c r="A752" s="5"/>
    </row>
    <row r="753" spans="1:1" ht="15.75" customHeight="1" x14ac:dyDescent="0.35">
      <c r="A753" s="5"/>
    </row>
    <row r="754" spans="1:1" ht="15.75" customHeight="1" x14ac:dyDescent="0.35">
      <c r="A754" s="5"/>
    </row>
    <row r="755" spans="1:1" ht="15.75" customHeight="1" x14ac:dyDescent="0.35">
      <c r="A755" s="5"/>
    </row>
    <row r="756" spans="1:1" ht="15.75" customHeight="1" x14ac:dyDescent="0.35">
      <c r="A756" s="5"/>
    </row>
    <row r="757" spans="1:1" ht="15.75" customHeight="1" x14ac:dyDescent="0.35">
      <c r="A757" s="5"/>
    </row>
    <row r="758" spans="1:1" ht="15.75" customHeight="1" x14ac:dyDescent="0.35">
      <c r="A758" s="5"/>
    </row>
    <row r="759" spans="1:1" ht="15.75" customHeight="1" x14ac:dyDescent="0.35">
      <c r="A759" s="5"/>
    </row>
    <row r="760" spans="1:1" ht="15.75" customHeight="1" x14ac:dyDescent="0.35">
      <c r="A760" s="5"/>
    </row>
    <row r="761" spans="1:1" ht="15.75" customHeight="1" x14ac:dyDescent="0.35">
      <c r="A761" s="5"/>
    </row>
    <row r="762" spans="1:1" ht="15.75" customHeight="1" x14ac:dyDescent="0.35">
      <c r="A762" s="5"/>
    </row>
    <row r="763" spans="1:1" ht="15.75" customHeight="1" x14ac:dyDescent="0.35">
      <c r="A763" s="5"/>
    </row>
    <row r="764" spans="1:1" ht="15.75" customHeight="1" x14ac:dyDescent="0.35">
      <c r="A764" s="5"/>
    </row>
    <row r="765" spans="1:1" ht="15.75" customHeight="1" x14ac:dyDescent="0.35">
      <c r="A765" s="5"/>
    </row>
    <row r="766" spans="1:1" ht="15.75" customHeight="1" x14ac:dyDescent="0.35">
      <c r="A766" s="5"/>
    </row>
    <row r="767" spans="1:1" ht="15.75" customHeight="1" x14ac:dyDescent="0.35">
      <c r="A767" s="5"/>
    </row>
    <row r="768" spans="1:1" ht="15.75" customHeight="1" x14ac:dyDescent="0.35">
      <c r="A768" s="5"/>
    </row>
    <row r="769" spans="1:1" ht="15.75" customHeight="1" x14ac:dyDescent="0.35">
      <c r="A769" s="5"/>
    </row>
    <row r="770" spans="1:1" ht="15.75" customHeight="1" x14ac:dyDescent="0.35">
      <c r="A770" s="5"/>
    </row>
    <row r="771" spans="1:1" ht="15.75" customHeight="1" x14ac:dyDescent="0.35">
      <c r="A771" s="5"/>
    </row>
    <row r="772" spans="1:1" ht="15.75" customHeight="1" x14ac:dyDescent="0.35">
      <c r="A772" s="5"/>
    </row>
    <row r="773" spans="1:1" ht="15.75" customHeight="1" x14ac:dyDescent="0.35">
      <c r="A773" s="5"/>
    </row>
    <row r="774" spans="1:1" ht="15.75" customHeight="1" x14ac:dyDescent="0.35">
      <c r="A774" s="5"/>
    </row>
    <row r="775" spans="1:1" ht="15.75" customHeight="1" x14ac:dyDescent="0.35">
      <c r="A775" s="5"/>
    </row>
    <row r="776" spans="1:1" ht="15.75" customHeight="1" x14ac:dyDescent="0.35">
      <c r="A776" s="5"/>
    </row>
    <row r="777" spans="1:1" ht="15.75" customHeight="1" x14ac:dyDescent="0.35">
      <c r="A777" s="5"/>
    </row>
    <row r="778" spans="1:1" ht="15.75" customHeight="1" x14ac:dyDescent="0.35">
      <c r="A778" s="5"/>
    </row>
    <row r="779" spans="1:1" ht="15.75" customHeight="1" x14ac:dyDescent="0.35">
      <c r="A779" s="5"/>
    </row>
    <row r="780" spans="1:1" ht="15.75" customHeight="1" x14ac:dyDescent="0.35">
      <c r="A780" s="5"/>
    </row>
    <row r="781" spans="1:1" ht="15.75" customHeight="1" x14ac:dyDescent="0.35">
      <c r="A781" s="5"/>
    </row>
    <row r="782" spans="1:1" ht="15.75" customHeight="1" x14ac:dyDescent="0.35">
      <c r="A782" s="5"/>
    </row>
    <row r="783" spans="1:1" ht="15.75" customHeight="1" x14ac:dyDescent="0.35">
      <c r="A783" s="5"/>
    </row>
    <row r="784" spans="1:1" ht="15.75" customHeight="1" x14ac:dyDescent="0.35">
      <c r="A784" s="5"/>
    </row>
    <row r="785" spans="1:1" ht="15.75" customHeight="1" x14ac:dyDescent="0.35">
      <c r="A785" s="5"/>
    </row>
    <row r="786" spans="1:1" ht="15.75" customHeight="1" x14ac:dyDescent="0.35">
      <c r="A786" s="5"/>
    </row>
    <row r="787" spans="1:1" ht="15.75" customHeight="1" x14ac:dyDescent="0.35">
      <c r="A787" s="5"/>
    </row>
    <row r="788" spans="1:1" ht="15.75" customHeight="1" x14ac:dyDescent="0.35">
      <c r="A788" s="5"/>
    </row>
    <row r="789" spans="1:1" ht="15.75" customHeight="1" x14ac:dyDescent="0.35">
      <c r="A789" s="5"/>
    </row>
    <row r="790" spans="1:1" ht="15.75" customHeight="1" x14ac:dyDescent="0.35">
      <c r="A790" s="5"/>
    </row>
    <row r="791" spans="1:1" ht="15.75" customHeight="1" x14ac:dyDescent="0.35">
      <c r="A791" s="5"/>
    </row>
    <row r="792" spans="1:1" ht="15.75" customHeight="1" x14ac:dyDescent="0.35">
      <c r="A792" s="5"/>
    </row>
    <row r="793" spans="1:1" ht="15.75" customHeight="1" x14ac:dyDescent="0.35">
      <c r="A793" s="5"/>
    </row>
    <row r="794" spans="1:1" ht="15.75" customHeight="1" x14ac:dyDescent="0.35">
      <c r="A794" s="5"/>
    </row>
    <row r="795" spans="1:1" ht="15.75" customHeight="1" x14ac:dyDescent="0.35">
      <c r="A795" s="5"/>
    </row>
    <row r="796" spans="1:1" ht="15.75" customHeight="1" x14ac:dyDescent="0.35">
      <c r="A796" s="5"/>
    </row>
    <row r="797" spans="1:1" ht="15.75" customHeight="1" x14ac:dyDescent="0.35">
      <c r="A797" s="5"/>
    </row>
    <row r="798" spans="1:1" ht="15.75" customHeight="1" x14ac:dyDescent="0.35">
      <c r="A798" s="5"/>
    </row>
    <row r="799" spans="1:1" ht="15.75" customHeight="1" x14ac:dyDescent="0.35">
      <c r="A799" s="5"/>
    </row>
    <row r="800" spans="1:1" ht="15.75" customHeight="1" x14ac:dyDescent="0.35">
      <c r="A800" s="5"/>
    </row>
    <row r="801" spans="1:1" ht="15.75" customHeight="1" x14ac:dyDescent="0.35">
      <c r="A801" s="5"/>
    </row>
    <row r="802" spans="1:1" ht="15.75" customHeight="1" x14ac:dyDescent="0.35">
      <c r="A802" s="5"/>
    </row>
    <row r="803" spans="1:1" ht="15.75" customHeight="1" x14ac:dyDescent="0.35">
      <c r="A803" s="5"/>
    </row>
    <row r="804" spans="1:1" ht="15.75" customHeight="1" x14ac:dyDescent="0.35">
      <c r="A804" s="5"/>
    </row>
    <row r="805" spans="1:1" ht="15.75" customHeight="1" x14ac:dyDescent="0.35">
      <c r="A805" s="5"/>
    </row>
    <row r="806" spans="1:1" ht="15.75" customHeight="1" x14ac:dyDescent="0.35">
      <c r="A806" s="5"/>
    </row>
    <row r="807" spans="1:1" ht="15.75" customHeight="1" x14ac:dyDescent="0.35">
      <c r="A807" s="5"/>
    </row>
    <row r="808" spans="1:1" ht="15.75" customHeight="1" x14ac:dyDescent="0.35">
      <c r="A808" s="5"/>
    </row>
    <row r="809" spans="1:1" ht="15.75" customHeight="1" x14ac:dyDescent="0.35">
      <c r="A809" s="5"/>
    </row>
    <row r="810" spans="1:1" ht="15.75" customHeight="1" x14ac:dyDescent="0.35">
      <c r="A810" s="5"/>
    </row>
    <row r="811" spans="1:1" ht="15.75" customHeight="1" x14ac:dyDescent="0.35">
      <c r="A811" s="5"/>
    </row>
    <row r="812" spans="1:1" ht="15.75" customHeight="1" x14ac:dyDescent="0.35">
      <c r="A812" s="5"/>
    </row>
    <row r="813" spans="1:1" ht="15.75" customHeight="1" x14ac:dyDescent="0.35">
      <c r="A813" s="5"/>
    </row>
    <row r="814" spans="1:1" ht="15.75" customHeight="1" x14ac:dyDescent="0.35">
      <c r="A814" s="5"/>
    </row>
    <row r="815" spans="1:1" ht="15.75" customHeight="1" x14ac:dyDescent="0.35">
      <c r="A815" s="5"/>
    </row>
    <row r="816" spans="1:1" ht="15.75" customHeight="1" x14ac:dyDescent="0.35">
      <c r="A816" s="5"/>
    </row>
    <row r="817" spans="1:1" ht="15.75" customHeight="1" x14ac:dyDescent="0.35">
      <c r="A817" s="5"/>
    </row>
    <row r="818" spans="1:1" ht="15.75" customHeight="1" x14ac:dyDescent="0.35">
      <c r="A818" s="5"/>
    </row>
    <row r="819" spans="1:1" ht="15.75" customHeight="1" x14ac:dyDescent="0.35">
      <c r="A819" s="5"/>
    </row>
    <row r="820" spans="1:1" ht="15.75" customHeight="1" x14ac:dyDescent="0.35">
      <c r="A820" s="5"/>
    </row>
    <row r="821" spans="1:1" ht="15.75" customHeight="1" x14ac:dyDescent="0.35">
      <c r="A821" s="5"/>
    </row>
    <row r="822" spans="1:1" ht="15.75" customHeight="1" x14ac:dyDescent="0.35">
      <c r="A822" s="5"/>
    </row>
    <row r="823" spans="1:1" ht="15.75" customHeight="1" x14ac:dyDescent="0.35">
      <c r="A823" s="5"/>
    </row>
    <row r="824" spans="1:1" ht="15.75" customHeight="1" x14ac:dyDescent="0.35">
      <c r="A824" s="5"/>
    </row>
    <row r="825" spans="1:1" ht="15.75" customHeight="1" x14ac:dyDescent="0.35">
      <c r="A825" s="5"/>
    </row>
    <row r="826" spans="1:1" ht="15.75" customHeight="1" x14ac:dyDescent="0.35">
      <c r="A826" s="5"/>
    </row>
    <row r="827" spans="1:1" ht="15.75" customHeight="1" x14ac:dyDescent="0.35">
      <c r="A827" s="5"/>
    </row>
    <row r="828" spans="1:1" ht="15.75" customHeight="1" x14ac:dyDescent="0.35">
      <c r="A828" s="5"/>
    </row>
    <row r="829" spans="1:1" ht="15.75" customHeight="1" x14ac:dyDescent="0.35">
      <c r="A829" s="5"/>
    </row>
    <row r="830" spans="1:1" ht="15.75" customHeight="1" x14ac:dyDescent="0.35">
      <c r="A830" s="5"/>
    </row>
    <row r="831" spans="1:1" ht="15.75" customHeight="1" x14ac:dyDescent="0.35">
      <c r="A831" s="5"/>
    </row>
    <row r="832" spans="1:1" ht="15.75" customHeight="1" x14ac:dyDescent="0.35">
      <c r="A832" s="5"/>
    </row>
    <row r="833" spans="1:1" ht="15.75" customHeight="1" x14ac:dyDescent="0.35">
      <c r="A833" s="5"/>
    </row>
    <row r="834" spans="1:1" ht="15.75" customHeight="1" x14ac:dyDescent="0.35">
      <c r="A834" s="5"/>
    </row>
    <row r="835" spans="1:1" ht="15.75" customHeight="1" x14ac:dyDescent="0.35">
      <c r="A835" s="5"/>
    </row>
    <row r="836" spans="1:1" ht="15.75" customHeight="1" x14ac:dyDescent="0.35">
      <c r="A836" s="5"/>
    </row>
    <row r="837" spans="1:1" ht="15.75" customHeight="1" x14ac:dyDescent="0.35">
      <c r="A837" s="5"/>
    </row>
    <row r="838" spans="1:1" ht="15.75" customHeight="1" x14ac:dyDescent="0.35">
      <c r="A838" s="5"/>
    </row>
    <row r="839" spans="1:1" ht="15.75" customHeight="1" x14ac:dyDescent="0.35">
      <c r="A839" s="5"/>
    </row>
    <row r="840" spans="1:1" ht="15.75" customHeight="1" x14ac:dyDescent="0.35">
      <c r="A840" s="5"/>
    </row>
    <row r="841" spans="1:1" ht="15.75" customHeight="1" x14ac:dyDescent="0.35">
      <c r="A841" s="5"/>
    </row>
    <row r="842" spans="1:1" ht="15.75" customHeight="1" x14ac:dyDescent="0.35">
      <c r="A842" s="5"/>
    </row>
    <row r="843" spans="1:1" ht="15.75" customHeight="1" x14ac:dyDescent="0.35">
      <c r="A843" s="5"/>
    </row>
    <row r="844" spans="1:1" ht="15.75" customHeight="1" x14ac:dyDescent="0.35">
      <c r="A844" s="5"/>
    </row>
    <row r="845" spans="1:1" ht="15.75" customHeight="1" x14ac:dyDescent="0.35">
      <c r="A845" s="5"/>
    </row>
    <row r="846" spans="1:1" ht="15.75" customHeight="1" x14ac:dyDescent="0.35">
      <c r="A846" s="5"/>
    </row>
    <row r="847" spans="1:1" ht="15.75" customHeight="1" x14ac:dyDescent="0.35">
      <c r="A847" s="5"/>
    </row>
    <row r="848" spans="1:1" ht="15.75" customHeight="1" x14ac:dyDescent="0.35">
      <c r="A848" s="5"/>
    </row>
    <row r="849" spans="1:1" ht="15.75" customHeight="1" x14ac:dyDescent="0.35">
      <c r="A849" s="5"/>
    </row>
    <row r="850" spans="1:1" ht="15.75" customHeight="1" x14ac:dyDescent="0.35">
      <c r="A850" s="5"/>
    </row>
    <row r="851" spans="1:1" ht="15.75" customHeight="1" x14ac:dyDescent="0.35">
      <c r="A851" s="5"/>
    </row>
    <row r="852" spans="1:1" ht="15.75" customHeight="1" x14ac:dyDescent="0.35">
      <c r="A852" s="5"/>
    </row>
    <row r="853" spans="1:1" ht="15.75" customHeight="1" x14ac:dyDescent="0.35">
      <c r="A853" s="5"/>
    </row>
    <row r="854" spans="1:1" ht="15.75" customHeight="1" x14ac:dyDescent="0.35">
      <c r="A854" s="5"/>
    </row>
    <row r="855" spans="1:1" ht="15.75" customHeight="1" x14ac:dyDescent="0.35">
      <c r="A855" s="5"/>
    </row>
    <row r="856" spans="1:1" ht="15.75" customHeight="1" x14ac:dyDescent="0.35">
      <c r="A856" s="5"/>
    </row>
    <row r="857" spans="1:1" ht="15.75" customHeight="1" x14ac:dyDescent="0.35">
      <c r="A857" s="5"/>
    </row>
    <row r="858" spans="1:1" ht="15.75" customHeight="1" x14ac:dyDescent="0.35">
      <c r="A858" s="5"/>
    </row>
    <row r="859" spans="1:1" ht="15.75" customHeight="1" x14ac:dyDescent="0.35">
      <c r="A859" s="5"/>
    </row>
    <row r="860" spans="1:1" ht="15.75" customHeight="1" x14ac:dyDescent="0.35">
      <c r="A860" s="5"/>
    </row>
    <row r="861" spans="1:1" ht="15.75" customHeight="1" x14ac:dyDescent="0.35">
      <c r="A861" s="5"/>
    </row>
    <row r="862" spans="1:1" ht="15.75" customHeight="1" x14ac:dyDescent="0.35">
      <c r="A862" s="5"/>
    </row>
    <row r="863" spans="1:1" ht="15.75" customHeight="1" x14ac:dyDescent="0.35">
      <c r="A863" s="5"/>
    </row>
    <row r="864" spans="1:1" ht="15.75" customHeight="1" x14ac:dyDescent="0.35">
      <c r="A864" s="5"/>
    </row>
    <row r="865" spans="1:1" ht="15.75" customHeight="1" x14ac:dyDescent="0.35">
      <c r="A865" s="5"/>
    </row>
    <row r="866" spans="1:1" ht="15.75" customHeight="1" x14ac:dyDescent="0.35">
      <c r="A866" s="5"/>
    </row>
    <row r="867" spans="1:1" ht="15.75" customHeight="1" x14ac:dyDescent="0.35">
      <c r="A867" s="5"/>
    </row>
    <row r="868" spans="1:1" ht="15.75" customHeight="1" x14ac:dyDescent="0.35">
      <c r="A868" s="5"/>
    </row>
    <row r="869" spans="1:1" ht="15.75" customHeight="1" x14ac:dyDescent="0.35">
      <c r="A869" s="5"/>
    </row>
    <row r="870" spans="1:1" ht="15.75" customHeight="1" x14ac:dyDescent="0.35">
      <c r="A870" s="5"/>
    </row>
    <row r="871" spans="1:1" ht="15.75" customHeight="1" x14ac:dyDescent="0.35">
      <c r="A871" s="5"/>
    </row>
    <row r="872" spans="1:1" ht="15.75" customHeight="1" x14ac:dyDescent="0.35">
      <c r="A872" s="5"/>
    </row>
    <row r="873" spans="1:1" ht="15.75" customHeight="1" x14ac:dyDescent="0.35">
      <c r="A873" s="5"/>
    </row>
    <row r="874" spans="1:1" ht="15.75" customHeight="1" x14ac:dyDescent="0.35">
      <c r="A874" s="5"/>
    </row>
    <row r="875" spans="1:1" ht="15.75" customHeight="1" x14ac:dyDescent="0.35">
      <c r="A875" s="5"/>
    </row>
    <row r="876" spans="1:1" ht="15.75" customHeight="1" x14ac:dyDescent="0.35">
      <c r="A876" s="5"/>
    </row>
    <row r="877" spans="1:1" ht="15.75" customHeight="1" x14ac:dyDescent="0.35">
      <c r="A877" s="5"/>
    </row>
    <row r="878" spans="1:1" ht="15.75" customHeight="1" x14ac:dyDescent="0.35">
      <c r="A878" s="5"/>
    </row>
    <row r="879" spans="1:1" ht="15.75" customHeight="1" x14ac:dyDescent="0.35">
      <c r="A879" s="5"/>
    </row>
    <row r="880" spans="1:1" ht="15.75" customHeight="1" x14ac:dyDescent="0.35">
      <c r="A880" s="5"/>
    </row>
    <row r="881" spans="1:1" ht="15.75" customHeight="1" x14ac:dyDescent="0.35">
      <c r="A881" s="5"/>
    </row>
    <row r="882" spans="1:1" ht="15.75" customHeight="1" x14ac:dyDescent="0.35">
      <c r="A882" s="5"/>
    </row>
    <row r="883" spans="1:1" ht="15.75" customHeight="1" x14ac:dyDescent="0.35">
      <c r="A883" s="5"/>
    </row>
    <row r="884" spans="1:1" ht="15.75" customHeight="1" x14ac:dyDescent="0.35">
      <c r="A884" s="5"/>
    </row>
    <row r="885" spans="1:1" ht="15.75" customHeight="1" x14ac:dyDescent="0.35">
      <c r="A885" s="5"/>
    </row>
    <row r="886" spans="1:1" ht="15.75" customHeight="1" x14ac:dyDescent="0.35">
      <c r="A886" s="5"/>
    </row>
    <row r="887" spans="1:1" ht="15.75" customHeight="1" x14ac:dyDescent="0.35">
      <c r="A887" s="5"/>
    </row>
    <row r="888" spans="1:1" ht="15.75" customHeight="1" x14ac:dyDescent="0.35">
      <c r="A888" s="5"/>
    </row>
    <row r="889" spans="1:1" ht="15.75" customHeight="1" x14ac:dyDescent="0.35">
      <c r="A889" s="5"/>
    </row>
    <row r="890" spans="1:1" ht="15.75" customHeight="1" x14ac:dyDescent="0.35">
      <c r="A890" s="5"/>
    </row>
    <row r="891" spans="1:1" ht="15.75" customHeight="1" x14ac:dyDescent="0.35">
      <c r="A891" s="5"/>
    </row>
    <row r="892" spans="1:1" ht="15.75" customHeight="1" x14ac:dyDescent="0.35">
      <c r="A892" s="5"/>
    </row>
    <row r="893" spans="1:1" ht="15.75" customHeight="1" x14ac:dyDescent="0.35">
      <c r="A893" s="5"/>
    </row>
    <row r="894" spans="1:1" ht="15.75" customHeight="1" x14ac:dyDescent="0.35">
      <c r="A894" s="5"/>
    </row>
    <row r="895" spans="1:1" ht="15.75" customHeight="1" x14ac:dyDescent="0.35">
      <c r="A895" s="5"/>
    </row>
    <row r="896" spans="1:1" ht="15.75" customHeight="1" x14ac:dyDescent="0.35">
      <c r="A896" s="5"/>
    </row>
    <row r="897" spans="1:1" ht="15.75" customHeight="1" x14ac:dyDescent="0.35">
      <c r="A897" s="5"/>
    </row>
    <row r="898" spans="1:1" ht="15.75" customHeight="1" x14ac:dyDescent="0.35">
      <c r="A898" s="5"/>
    </row>
    <row r="899" spans="1:1" ht="15.75" customHeight="1" x14ac:dyDescent="0.35">
      <c r="A899" s="5"/>
    </row>
    <row r="900" spans="1:1" ht="15.75" customHeight="1" x14ac:dyDescent="0.35">
      <c r="A900" s="5"/>
    </row>
    <row r="901" spans="1:1" ht="15.75" customHeight="1" x14ac:dyDescent="0.35">
      <c r="A901" s="5"/>
    </row>
    <row r="902" spans="1:1" ht="15.75" customHeight="1" x14ac:dyDescent="0.35">
      <c r="A902" s="5"/>
    </row>
    <row r="903" spans="1:1" ht="15.75" customHeight="1" x14ac:dyDescent="0.35">
      <c r="A903" s="5"/>
    </row>
    <row r="904" spans="1:1" ht="15.75" customHeight="1" x14ac:dyDescent="0.35">
      <c r="A904" s="5"/>
    </row>
    <row r="905" spans="1:1" ht="15.75" customHeight="1" x14ac:dyDescent="0.35">
      <c r="A905" s="5"/>
    </row>
    <row r="906" spans="1:1" ht="15.75" customHeight="1" x14ac:dyDescent="0.35">
      <c r="A906" s="5"/>
    </row>
    <row r="907" spans="1:1" ht="15.75" customHeight="1" x14ac:dyDescent="0.35">
      <c r="A907" s="5"/>
    </row>
    <row r="908" spans="1:1" ht="15.75" customHeight="1" x14ac:dyDescent="0.35">
      <c r="A908" s="5"/>
    </row>
    <row r="909" spans="1:1" ht="15.75" customHeight="1" x14ac:dyDescent="0.35">
      <c r="A909" s="5"/>
    </row>
    <row r="910" spans="1:1" ht="15.75" customHeight="1" x14ac:dyDescent="0.35">
      <c r="A910" s="5"/>
    </row>
    <row r="911" spans="1:1" ht="15.75" customHeight="1" x14ac:dyDescent="0.35">
      <c r="A911" s="5"/>
    </row>
    <row r="912" spans="1:1" ht="15.75" customHeight="1" x14ac:dyDescent="0.35">
      <c r="A912" s="5"/>
    </row>
    <row r="913" spans="1:1" ht="15.75" customHeight="1" x14ac:dyDescent="0.35">
      <c r="A913" s="5"/>
    </row>
    <row r="914" spans="1:1" ht="15.75" customHeight="1" x14ac:dyDescent="0.35">
      <c r="A914" s="5"/>
    </row>
    <row r="915" spans="1:1" ht="15.75" customHeight="1" x14ac:dyDescent="0.35">
      <c r="A915" s="5"/>
    </row>
    <row r="916" spans="1:1" ht="15.75" customHeight="1" x14ac:dyDescent="0.35">
      <c r="A916" s="5"/>
    </row>
    <row r="917" spans="1:1" ht="15.75" customHeight="1" x14ac:dyDescent="0.35">
      <c r="A917" s="5"/>
    </row>
    <row r="918" spans="1:1" ht="15.75" customHeight="1" x14ac:dyDescent="0.35">
      <c r="A918" s="5"/>
    </row>
    <row r="919" spans="1:1" ht="15.75" customHeight="1" x14ac:dyDescent="0.35">
      <c r="A919" s="5"/>
    </row>
    <row r="920" spans="1:1" ht="15.75" customHeight="1" x14ac:dyDescent="0.35">
      <c r="A920" s="5"/>
    </row>
    <row r="921" spans="1:1" ht="15.75" customHeight="1" x14ac:dyDescent="0.35">
      <c r="A921" s="5"/>
    </row>
    <row r="922" spans="1:1" ht="15.75" customHeight="1" x14ac:dyDescent="0.35">
      <c r="A922" s="5"/>
    </row>
    <row r="923" spans="1:1" ht="15.75" customHeight="1" x14ac:dyDescent="0.35">
      <c r="A923" s="5"/>
    </row>
    <row r="924" spans="1:1" ht="15.75" customHeight="1" x14ac:dyDescent="0.35">
      <c r="A924" s="5"/>
    </row>
    <row r="925" spans="1:1" ht="15.75" customHeight="1" x14ac:dyDescent="0.35">
      <c r="A925" s="5"/>
    </row>
    <row r="926" spans="1:1" ht="15.75" customHeight="1" x14ac:dyDescent="0.35">
      <c r="A926" s="5"/>
    </row>
    <row r="927" spans="1:1" ht="15.75" customHeight="1" x14ac:dyDescent="0.35">
      <c r="A927" s="5"/>
    </row>
    <row r="928" spans="1:1" ht="15.75" customHeight="1" x14ac:dyDescent="0.35">
      <c r="A928" s="5"/>
    </row>
    <row r="929" spans="1:1" ht="15.75" customHeight="1" x14ac:dyDescent="0.35">
      <c r="A929" s="5"/>
    </row>
    <row r="930" spans="1:1" ht="15.75" customHeight="1" x14ac:dyDescent="0.35">
      <c r="A930" s="5"/>
    </row>
    <row r="931" spans="1:1" ht="15.75" customHeight="1" x14ac:dyDescent="0.35">
      <c r="A931" s="5"/>
    </row>
    <row r="932" spans="1:1" ht="15.75" customHeight="1" x14ac:dyDescent="0.35">
      <c r="A932" s="5"/>
    </row>
    <row r="933" spans="1:1" ht="15.75" customHeight="1" x14ac:dyDescent="0.35">
      <c r="A933" s="5"/>
    </row>
    <row r="934" spans="1:1" ht="15.75" customHeight="1" x14ac:dyDescent="0.35">
      <c r="A934" s="5"/>
    </row>
    <row r="935" spans="1:1" ht="15.75" customHeight="1" x14ac:dyDescent="0.35">
      <c r="A935" s="5"/>
    </row>
    <row r="936" spans="1:1" ht="15.75" customHeight="1" x14ac:dyDescent="0.35">
      <c r="A936" s="5"/>
    </row>
    <row r="937" spans="1:1" ht="15.75" customHeight="1" x14ac:dyDescent="0.35">
      <c r="A937" s="5"/>
    </row>
    <row r="938" spans="1:1" ht="15.75" customHeight="1" x14ac:dyDescent="0.35">
      <c r="A938" s="5"/>
    </row>
    <row r="939" spans="1:1" ht="15.75" customHeight="1" x14ac:dyDescent="0.35">
      <c r="A939" s="5"/>
    </row>
    <row r="940" spans="1:1" ht="15.75" customHeight="1" x14ac:dyDescent="0.35">
      <c r="A940" s="5"/>
    </row>
    <row r="941" spans="1:1" ht="15.75" customHeight="1" x14ac:dyDescent="0.35">
      <c r="A941" s="5"/>
    </row>
    <row r="942" spans="1:1" ht="15.75" customHeight="1" x14ac:dyDescent="0.35">
      <c r="A942" s="5"/>
    </row>
    <row r="943" spans="1:1" ht="15.75" customHeight="1" x14ac:dyDescent="0.35">
      <c r="A943" s="5"/>
    </row>
    <row r="944" spans="1:1" ht="15.75" customHeight="1" x14ac:dyDescent="0.35">
      <c r="A944" s="5"/>
    </row>
    <row r="945" spans="1:1" ht="15.75" customHeight="1" x14ac:dyDescent="0.35">
      <c r="A945" s="5"/>
    </row>
    <row r="946" spans="1:1" ht="15.75" customHeight="1" x14ac:dyDescent="0.35">
      <c r="A946" s="5"/>
    </row>
    <row r="947" spans="1:1" ht="15.75" customHeight="1" x14ac:dyDescent="0.35">
      <c r="A947" s="5"/>
    </row>
    <row r="948" spans="1:1" ht="15.75" customHeight="1" x14ac:dyDescent="0.35">
      <c r="A948" s="5"/>
    </row>
    <row r="949" spans="1:1" ht="15.75" customHeight="1" x14ac:dyDescent="0.35">
      <c r="A949" s="5"/>
    </row>
    <row r="950" spans="1:1" ht="15.75" customHeight="1" x14ac:dyDescent="0.35">
      <c r="A950" s="5"/>
    </row>
    <row r="951" spans="1:1" ht="15.75" customHeight="1" x14ac:dyDescent="0.35">
      <c r="A951" s="5"/>
    </row>
    <row r="952" spans="1:1" ht="15.75" customHeight="1" x14ac:dyDescent="0.35">
      <c r="A952" s="5"/>
    </row>
    <row r="953" spans="1:1" ht="15.75" customHeight="1" x14ac:dyDescent="0.35">
      <c r="A953" s="5"/>
    </row>
    <row r="954" spans="1:1" ht="15.75" customHeight="1" x14ac:dyDescent="0.35">
      <c r="A954" s="5"/>
    </row>
    <row r="955" spans="1:1" ht="15.75" customHeight="1" x14ac:dyDescent="0.35">
      <c r="A955" s="5"/>
    </row>
    <row r="956" spans="1:1" ht="15.75" customHeight="1" x14ac:dyDescent="0.35">
      <c r="A956" s="5"/>
    </row>
    <row r="957" spans="1:1" ht="15.75" customHeight="1" x14ac:dyDescent="0.35">
      <c r="A957" s="5"/>
    </row>
    <row r="958" spans="1:1" ht="15.75" customHeight="1" x14ac:dyDescent="0.35">
      <c r="A958" s="5"/>
    </row>
    <row r="959" spans="1:1" ht="15.75" customHeight="1" x14ac:dyDescent="0.35">
      <c r="A959" s="5"/>
    </row>
    <row r="960" spans="1:1" ht="15.75" customHeight="1" x14ac:dyDescent="0.35">
      <c r="A960" s="5"/>
    </row>
    <row r="961" spans="1:1" ht="15.75" customHeight="1" x14ac:dyDescent="0.35">
      <c r="A961" s="5"/>
    </row>
    <row r="962" spans="1:1" ht="15.75" customHeight="1" x14ac:dyDescent="0.35">
      <c r="A962" s="5"/>
    </row>
    <row r="963" spans="1:1" ht="15.75" customHeight="1" x14ac:dyDescent="0.35">
      <c r="A963" s="5"/>
    </row>
    <row r="964" spans="1:1" ht="15.75" customHeight="1" x14ac:dyDescent="0.35">
      <c r="A964" s="5"/>
    </row>
    <row r="965" spans="1:1" ht="15.75" customHeight="1" x14ac:dyDescent="0.35">
      <c r="A965" s="5"/>
    </row>
    <row r="966" spans="1:1" ht="15.75" customHeight="1" x14ac:dyDescent="0.35">
      <c r="A966" s="5"/>
    </row>
    <row r="967" spans="1:1" ht="15.75" customHeight="1" x14ac:dyDescent="0.35">
      <c r="A967" s="5"/>
    </row>
    <row r="968" spans="1:1" ht="15.75" customHeight="1" x14ac:dyDescent="0.35">
      <c r="A968" s="5"/>
    </row>
    <row r="969" spans="1:1" ht="15.75" customHeight="1" x14ac:dyDescent="0.35">
      <c r="A969" s="5"/>
    </row>
    <row r="970" spans="1:1" ht="15.75" customHeight="1" x14ac:dyDescent="0.35">
      <c r="A970" s="5"/>
    </row>
    <row r="971" spans="1:1" ht="15.75" customHeight="1" x14ac:dyDescent="0.35">
      <c r="A971" s="5"/>
    </row>
    <row r="972" spans="1:1" ht="15.75" customHeight="1" x14ac:dyDescent="0.35">
      <c r="A972" s="5"/>
    </row>
    <row r="973" spans="1:1" ht="15.75" customHeight="1" x14ac:dyDescent="0.35">
      <c r="A973" s="5"/>
    </row>
    <row r="974" spans="1:1" ht="15.75" customHeight="1" x14ac:dyDescent="0.35">
      <c r="A974" s="5"/>
    </row>
    <row r="975" spans="1:1" ht="15.75" customHeight="1" x14ac:dyDescent="0.35">
      <c r="A975" s="5"/>
    </row>
    <row r="976" spans="1:1" ht="15.75" customHeight="1" x14ac:dyDescent="0.35">
      <c r="A976" s="5"/>
    </row>
    <row r="977" spans="1:1" ht="15.75" customHeight="1" x14ac:dyDescent="0.35">
      <c r="A977" s="5"/>
    </row>
    <row r="978" spans="1:1" ht="15.75" customHeight="1" x14ac:dyDescent="0.35">
      <c r="A978" s="5"/>
    </row>
    <row r="979" spans="1:1" ht="15.75" customHeight="1" x14ac:dyDescent="0.35">
      <c r="A979" s="5"/>
    </row>
    <row r="980" spans="1:1" ht="15.75" customHeight="1" x14ac:dyDescent="0.35">
      <c r="A980" s="5"/>
    </row>
    <row r="981" spans="1:1" ht="15.75" customHeight="1" x14ac:dyDescent="0.35">
      <c r="A981" s="5"/>
    </row>
    <row r="982" spans="1:1" ht="15.75" customHeight="1" x14ac:dyDescent="0.35">
      <c r="A982" s="5"/>
    </row>
    <row r="983" spans="1:1" ht="15.75" customHeight="1" x14ac:dyDescent="0.35">
      <c r="A983" s="5"/>
    </row>
    <row r="984" spans="1:1" ht="15.75" customHeight="1" x14ac:dyDescent="0.35">
      <c r="A984" s="5"/>
    </row>
    <row r="985" spans="1:1" ht="15.75" customHeight="1" x14ac:dyDescent="0.35">
      <c r="A985" s="5"/>
    </row>
    <row r="986" spans="1:1" ht="15.75" customHeight="1" x14ac:dyDescent="0.35">
      <c r="A986" s="5"/>
    </row>
    <row r="987" spans="1:1" ht="15.75" customHeight="1" x14ac:dyDescent="0.35">
      <c r="A987" s="5"/>
    </row>
    <row r="988" spans="1:1" ht="15.75" customHeight="1" x14ac:dyDescent="0.35">
      <c r="A988" s="5"/>
    </row>
    <row r="989" spans="1:1" ht="15.75" customHeight="1" x14ac:dyDescent="0.35">
      <c r="A989" s="5"/>
    </row>
    <row r="990" spans="1:1" ht="15.75" customHeight="1" x14ac:dyDescent="0.35">
      <c r="A990" s="5"/>
    </row>
    <row r="991" spans="1:1" ht="15.75" customHeight="1" x14ac:dyDescent="0.35">
      <c r="A991" s="5"/>
    </row>
    <row r="992" spans="1:1" ht="15.75" customHeight="1" x14ac:dyDescent="0.35">
      <c r="A992" s="5"/>
    </row>
    <row r="993" spans="1:1" ht="15.75" customHeight="1" x14ac:dyDescent="0.35">
      <c r="A993" s="5"/>
    </row>
    <row r="994" spans="1:1" ht="15.75" customHeight="1" x14ac:dyDescent="0.35">
      <c r="A994" s="5"/>
    </row>
    <row r="995" spans="1:1" ht="15.75" customHeight="1" x14ac:dyDescent="0.35">
      <c r="A995" s="5"/>
    </row>
    <row r="996" spans="1:1" ht="15.75" customHeight="1" x14ac:dyDescent="0.35">
      <c r="A996" s="5"/>
    </row>
    <row r="997" spans="1:1" ht="15.75" customHeight="1" x14ac:dyDescent="0.35">
      <c r="A997" s="5"/>
    </row>
    <row r="998" spans="1:1" ht="15.75" customHeight="1" x14ac:dyDescent="0.35">
      <c r="A998" s="5"/>
    </row>
    <row r="999" spans="1:1" ht="15.75" customHeight="1" x14ac:dyDescent="0.35">
      <c r="A999" s="5"/>
    </row>
    <row r="1000" spans="1:1" ht="15.75" customHeight="1" x14ac:dyDescent="0.35">
      <c r="A1000" s="5"/>
    </row>
  </sheetData>
  <autoFilter ref="A1:Z501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>
      <selection activeCell="D21" sqref="D21"/>
    </sheetView>
  </sheetViews>
  <sheetFormatPr defaultColWidth="14.453125" defaultRowHeight="15" customHeight="1" x14ac:dyDescent="0.35"/>
  <cols>
    <col min="1" max="1" width="10.81640625" customWidth="1"/>
    <col min="2" max="2" width="8.7265625" customWidth="1"/>
    <col min="3" max="3" width="21" customWidth="1"/>
    <col min="4" max="4" width="11.453125" customWidth="1"/>
    <col min="5" max="26" width="8.7265625" customWidth="1"/>
  </cols>
  <sheetData>
    <row r="1" spans="1:4" ht="14.5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14.5" x14ac:dyDescent="0.35">
      <c r="A2" s="3">
        <v>45677</v>
      </c>
      <c r="B2" s="4" t="s">
        <v>58</v>
      </c>
      <c r="C2" s="4" t="s">
        <v>24</v>
      </c>
      <c r="D2" s="4">
        <v>18</v>
      </c>
    </row>
    <row r="3" spans="1:4" ht="14.5" x14ac:dyDescent="0.35">
      <c r="A3" s="3">
        <v>45705</v>
      </c>
      <c r="B3" s="4" t="s">
        <v>130</v>
      </c>
      <c r="C3" s="4" t="s">
        <v>52</v>
      </c>
      <c r="D3" s="4">
        <v>40</v>
      </c>
    </row>
    <row r="4" spans="1:4" ht="14.5" x14ac:dyDescent="0.35">
      <c r="A4" s="3">
        <v>45710</v>
      </c>
      <c r="B4" s="4" t="s">
        <v>32</v>
      </c>
      <c r="C4" s="4" t="s">
        <v>22</v>
      </c>
      <c r="D4" s="4">
        <v>61</v>
      </c>
    </row>
    <row r="5" spans="1:4" ht="14.5" x14ac:dyDescent="0.35">
      <c r="A5" s="3">
        <v>45664</v>
      </c>
      <c r="B5" s="4" t="s">
        <v>68</v>
      </c>
      <c r="C5" s="4" t="s">
        <v>62</v>
      </c>
      <c r="D5" s="4">
        <v>62</v>
      </c>
    </row>
    <row r="6" spans="1:4" ht="14.5" x14ac:dyDescent="0.35">
      <c r="A6" s="3">
        <v>45663</v>
      </c>
      <c r="B6" s="4" t="s">
        <v>133</v>
      </c>
      <c r="C6" s="4" t="s">
        <v>24</v>
      </c>
      <c r="D6" s="4">
        <v>70</v>
      </c>
    </row>
    <row r="7" spans="1:4" ht="14.5" x14ac:dyDescent="0.35">
      <c r="A7" s="3">
        <v>45685</v>
      </c>
      <c r="B7" s="4" t="s">
        <v>110</v>
      </c>
      <c r="C7" s="4" t="s">
        <v>8</v>
      </c>
      <c r="D7" s="4">
        <v>69</v>
      </c>
    </row>
    <row r="8" spans="1:4" ht="14.5" x14ac:dyDescent="0.35">
      <c r="A8" s="3">
        <v>45680</v>
      </c>
      <c r="B8" s="4" t="s">
        <v>140</v>
      </c>
      <c r="C8" s="4" t="s">
        <v>85</v>
      </c>
      <c r="D8" s="4">
        <v>54</v>
      </c>
    </row>
    <row r="9" spans="1:4" ht="14.5" x14ac:dyDescent="0.35">
      <c r="A9" s="3">
        <v>45675</v>
      </c>
      <c r="B9" s="4" t="s">
        <v>36</v>
      </c>
      <c r="C9" s="4" t="s">
        <v>22</v>
      </c>
      <c r="D9" s="4">
        <v>47</v>
      </c>
    </row>
    <row r="10" spans="1:4" ht="14.5" x14ac:dyDescent="0.35">
      <c r="A10" s="3">
        <v>45726</v>
      </c>
      <c r="B10" s="4" t="s">
        <v>87</v>
      </c>
      <c r="C10" s="4" t="s">
        <v>39</v>
      </c>
      <c r="D10" s="4">
        <v>28</v>
      </c>
    </row>
    <row r="11" spans="1:4" ht="14.5" x14ac:dyDescent="0.35">
      <c r="A11" s="3">
        <v>45734</v>
      </c>
      <c r="B11" s="4" t="s">
        <v>15</v>
      </c>
      <c r="C11" s="4" t="s">
        <v>16</v>
      </c>
      <c r="D11" s="4">
        <v>68</v>
      </c>
    </row>
    <row r="12" spans="1:4" ht="14.5" x14ac:dyDescent="0.35">
      <c r="A12" s="3">
        <v>45728</v>
      </c>
      <c r="B12" s="4" t="s">
        <v>49</v>
      </c>
      <c r="C12" s="4" t="s">
        <v>50</v>
      </c>
      <c r="D12" s="4">
        <v>1</v>
      </c>
    </row>
    <row r="13" spans="1:4" ht="14.5" x14ac:dyDescent="0.35">
      <c r="A13" s="3">
        <v>45706</v>
      </c>
      <c r="B13" s="4" t="s">
        <v>53</v>
      </c>
      <c r="C13" s="4" t="s">
        <v>50</v>
      </c>
      <c r="D13" s="4">
        <v>47</v>
      </c>
    </row>
    <row r="14" spans="1:4" ht="14.5" x14ac:dyDescent="0.35">
      <c r="A14" s="3">
        <v>45658</v>
      </c>
      <c r="B14" s="4" t="s">
        <v>129</v>
      </c>
      <c r="C14" s="4" t="s">
        <v>41</v>
      </c>
      <c r="D14" s="4">
        <v>76</v>
      </c>
    </row>
    <row r="15" spans="1:4" ht="14.5" x14ac:dyDescent="0.35">
      <c r="A15" s="3">
        <v>45679</v>
      </c>
      <c r="B15" s="4" t="s">
        <v>69</v>
      </c>
      <c r="C15" s="4" t="s">
        <v>24</v>
      </c>
      <c r="D15" s="4">
        <v>70</v>
      </c>
    </row>
    <row r="16" spans="1:4" ht="14.5" x14ac:dyDescent="0.35">
      <c r="A16" s="3">
        <v>45671</v>
      </c>
      <c r="B16" s="4" t="s">
        <v>53</v>
      </c>
      <c r="C16" s="4" t="s">
        <v>50</v>
      </c>
      <c r="D16" s="4">
        <v>22</v>
      </c>
    </row>
    <row r="17" spans="1:4" ht="14.5" x14ac:dyDescent="0.35">
      <c r="A17" s="3">
        <v>45729</v>
      </c>
      <c r="B17" s="4" t="s">
        <v>94</v>
      </c>
      <c r="C17" s="4" t="s">
        <v>52</v>
      </c>
      <c r="D17" s="4">
        <v>75</v>
      </c>
    </row>
    <row r="18" spans="1:4" ht="14.5" x14ac:dyDescent="0.35">
      <c r="A18" s="3">
        <v>45723</v>
      </c>
      <c r="B18" s="4" t="s">
        <v>19</v>
      </c>
      <c r="C18" s="4" t="s">
        <v>20</v>
      </c>
      <c r="D18" s="4">
        <v>66</v>
      </c>
    </row>
    <row r="19" spans="1:4" ht="14.5" x14ac:dyDescent="0.35">
      <c r="A19" s="3">
        <v>45746</v>
      </c>
      <c r="B19" s="4" t="s">
        <v>112</v>
      </c>
      <c r="C19" s="4" t="s">
        <v>31</v>
      </c>
      <c r="D19" s="4">
        <v>78</v>
      </c>
    </row>
    <row r="20" spans="1:4" ht="14.5" x14ac:dyDescent="0.35">
      <c r="A20" s="3">
        <v>45666</v>
      </c>
      <c r="B20" s="4" t="s">
        <v>141</v>
      </c>
      <c r="C20" s="4" t="s">
        <v>24</v>
      </c>
      <c r="D20" s="4">
        <v>62</v>
      </c>
    </row>
    <row r="21" spans="1:4" ht="15.75" customHeight="1" x14ac:dyDescent="0.35">
      <c r="A21" s="3">
        <v>45706</v>
      </c>
      <c r="B21" s="4" t="s">
        <v>46</v>
      </c>
      <c r="C21" s="4" t="s">
        <v>20</v>
      </c>
      <c r="D21" s="4">
        <v>74</v>
      </c>
    </row>
    <row r="22" spans="1:4" ht="15.75" customHeight="1" x14ac:dyDescent="0.35">
      <c r="A22" s="3">
        <v>45715</v>
      </c>
      <c r="B22" s="4" t="s">
        <v>45</v>
      </c>
      <c r="C22" s="4" t="s">
        <v>24</v>
      </c>
      <c r="D22" s="4">
        <v>71</v>
      </c>
    </row>
    <row r="23" spans="1:4" ht="15.75" customHeight="1" x14ac:dyDescent="0.35">
      <c r="A23" s="3">
        <v>45695</v>
      </c>
      <c r="B23" s="4" t="s">
        <v>61</v>
      </c>
      <c r="C23" s="4" t="s">
        <v>62</v>
      </c>
      <c r="D23" s="4">
        <v>18</v>
      </c>
    </row>
    <row r="24" spans="1:4" ht="15.75" customHeight="1" x14ac:dyDescent="0.35">
      <c r="A24" s="3">
        <v>45665</v>
      </c>
      <c r="B24" s="4" t="s">
        <v>132</v>
      </c>
      <c r="C24" s="4" t="s">
        <v>26</v>
      </c>
      <c r="D24" s="4">
        <v>19</v>
      </c>
    </row>
    <row r="25" spans="1:4" ht="15.75" customHeight="1" x14ac:dyDescent="0.35">
      <c r="A25" s="3">
        <v>45694</v>
      </c>
      <c r="B25" s="4" t="s">
        <v>96</v>
      </c>
      <c r="C25" s="4" t="s">
        <v>50</v>
      </c>
      <c r="D25" s="4">
        <v>31</v>
      </c>
    </row>
    <row r="26" spans="1:4" ht="15.75" customHeight="1" x14ac:dyDescent="0.35">
      <c r="A26" s="3">
        <v>45728</v>
      </c>
      <c r="B26" s="4" t="s">
        <v>65</v>
      </c>
      <c r="C26" s="4" t="s">
        <v>5</v>
      </c>
      <c r="D26" s="4">
        <v>29</v>
      </c>
    </row>
    <row r="27" spans="1:4" ht="15.75" customHeight="1" x14ac:dyDescent="0.35">
      <c r="A27" s="3">
        <v>45715</v>
      </c>
      <c r="B27" s="4" t="s">
        <v>17</v>
      </c>
      <c r="C27" s="4" t="s">
        <v>16</v>
      </c>
      <c r="D27" s="4">
        <v>74</v>
      </c>
    </row>
    <row r="28" spans="1:4" ht="15.75" customHeight="1" x14ac:dyDescent="0.35">
      <c r="A28" s="3">
        <v>45671</v>
      </c>
      <c r="B28" s="4" t="s">
        <v>129</v>
      </c>
      <c r="C28" s="4" t="s">
        <v>41</v>
      </c>
      <c r="D28" s="4">
        <v>69</v>
      </c>
    </row>
    <row r="29" spans="1:4" ht="15.75" customHeight="1" x14ac:dyDescent="0.35">
      <c r="A29" s="3">
        <v>45686</v>
      </c>
      <c r="B29" s="4" t="s">
        <v>138</v>
      </c>
      <c r="C29" s="4" t="s">
        <v>85</v>
      </c>
      <c r="D29" s="4">
        <v>4</v>
      </c>
    </row>
    <row r="30" spans="1:4" ht="15.75" customHeight="1" x14ac:dyDescent="0.35">
      <c r="A30" s="3">
        <v>45680</v>
      </c>
      <c r="B30" s="4" t="s">
        <v>108</v>
      </c>
      <c r="C30" s="4" t="s">
        <v>109</v>
      </c>
      <c r="D30" s="4">
        <v>31</v>
      </c>
    </row>
    <row r="31" spans="1:4" ht="15.75" customHeight="1" x14ac:dyDescent="0.35">
      <c r="A31" s="3">
        <v>45675</v>
      </c>
      <c r="B31" s="4" t="s">
        <v>137</v>
      </c>
      <c r="C31" s="4" t="s">
        <v>20</v>
      </c>
      <c r="D31" s="4">
        <v>25</v>
      </c>
    </row>
    <row r="32" spans="1:4" ht="15.75" customHeight="1" x14ac:dyDescent="0.35">
      <c r="A32" s="3">
        <v>45681</v>
      </c>
      <c r="B32" s="4" t="s">
        <v>10</v>
      </c>
      <c r="C32" s="4" t="s">
        <v>8</v>
      </c>
      <c r="D32" s="4">
        <v>48</v>
      </c>
    </row>
    <row r="33" spans="1:4" ht="15.75" customHeight="1" x14ac:dyDescent="0.35">
      <c r="A33" s="3">
        <v>45746</v>
      </c>
      <c r="B33" s="4" t="s">
        <v>104</v>
      </c>
      <c r="C33" s="4" t="s">
        <v>5</v>
      </c>
      <c r="D33" s="4">
        <v>39</v>
      </c>
    </row>
    <row r="34" spans="1:4" ht="15.75" customHeight="1" x14ac:dyDescent="0.35">
      <c r="A34" s="3">
        <v>45724</v>
      </c>
      <c r="B34" s="4" t="s">
        <v>47</v>
      </c>
      <c r="C34" s="4" t="s">
        <v>22</v>
      </c>
      <c r="D34" s="4">
        <v>57</v>
      </c>
    </row>
    <row r="35" spans="1:4" ht="15.75" customHeight="1" x14ac:dyDescent="0.35">
      <c r="A35" s="3">
        <v>45739</v>
      </c>
      <c r="B35" s="4" t="s">
        <v>58</v>
      </c>
      <c r="C35" s="4" t="s">
        <v>24</v>
      </c>
      <c r="D35" s="4">
        <v>17</v>
      </c>
    </row>
    <row r="36" spans="1:4" ht="15.75" customHeight="1" x14ac:dyDescent="0.35">
      <c r="A36" s="3">
        <v>45676</v>
      </c>
      <c r="B36" s="4" t="s">
        <v>35</v>
      </c>
      <c r="C36" s="4" t="s">
        <v>8</v>
      </c>
      <c r="D36" s="4">
        <v>13</v>
      </c>
    </row>
    <row r="37" spans="1:4" ht="15.75" customHeight="1" x14ac:dyDescent="0.35">
      <c r="A37" s="3">
        <v>45729</v>
      </c>
      <c r="B37" s="4" t="s">
        <v>9</v>
      </c>
      <c r="C37" s="4" t="s">
        <v>8</v>
      </c>
      <c r="D37" s="4">
        <v>78</v>
      </c>
    </row>
    <row r="38" spans="1:4" ht="15.75" customHeight="1" x14ac:dyDescent="0.35">
      <c r="A38" s="3">
        <v>45679</v>
      </c>
      <c r="B38" s="4" t="s">
        <v>126</v>
      </c>
      <c r="C38" s="4" t="s">
        <v>26</v>
      </c>
      <c r="D38" s="4">
        <v>55</v>
      </c>
    </row>
    <row r="39" spans="1:4" ht="15.75" customHeight="1" x14ac:dyDescent="0.35">
      <c r="A39" s="3">
        <v>45718</v>
      </c>
      <c r="B39" s="4" t="s">
        <v>117</v>
      </c>
      <c r="C39" s="4" t="s">
        <v>28</v>
      </c>
      <c r="D39" s="4">
        <v>74</v>
      </c>
    </row>
    <row r="40" spans="1:4" ht="15.75" customHeight="1" x14ac:dyDescent="0.35">
      <c r="A40" s="3">
        <v>45700</v>
      </c>
      <c r="B40" s="4" t="s">
        <v>58</v>
      </c>
      <c r="C40" s="4" t="s">
        <v>24</v>
      </c>
      <c r="D40" s="4">
        <v>60</v>
      </c>
    </row>
    <row r="41" spans="1:4" ht="15.75" customHeight="1" x14ac:dyDescent="0.35">
      <c r="A41" s="3">
        <v>45740</v>
      </c>
      <c r="B41" s="4" t="s">
        <v>19</v>
      </c>
      <c r="C41" s="4" t="s">
        <v>20</v>
      </c>
      <c r="D41" s="4">
        <v>74</v>
      </c>
    </row>
    <row r="42" spans="1:4" ht="15.75" customHeight="1" x14ac:dyDescent="0.35">
      <c r="A42" s="3">
        <v>45730</v>
      </c>
      <c r="B42" s="4" t="s">
        <v>101</v>
      </c>
      <c r="C42" s="4" t="s">
        <v>24</v>
      </c>
      <c r="D42" s="4">
        <v>53</v>
      </c>
    </row>
    <row r="43" spans="1:4" ht="15.75" customHeight="1" x14ac:dyDescent="0.35">
      <c r="A43" s="3">
        <v>45734</v>
      </c>
      <c r="B43" s="4" t="s">
        <v>80</v>
      </c>
      <c r="C43" s="4" t="s">
        <v>22</v>
      </c>
      <c r="D43" s="4">
        <v>46</v>
      </c>
    </row>
    <row r="44" spans="1:4" ht="15.75" customHeight="1" x14ac:dyDescent="0.35">
      <c r="A44" s="3">
        <v>45689</v>
      </c>
      <c r="B44" s="4" t="s">
        <v>63</v>
      </c>
      <c r="C44" s="4" t="s">
        <v>26</v>
      </c>
      <c r="D44" s="4">
        <v>61</v>
      </c>
    </row>
    <row r="45" spans="1:4" ht="15.75" customHeight="1" x14ac:dyDescent="0.35">
      <c r="A45" s="3">
        <v>45693</v>
      </c>
      <c r="B45" s="4" t="s">
        <v>68</v>
      </c>
      <c r="C45" s="4" t="s">
        <v>62</v>
      </c>
      <c r="D45" s="4">
        <v>5</v>
      </c>
    </row>
    <row r="46" spans="1:4" ht="15.75" customHeight="1" x14ac:dyDescent="0.35">
      <c r="A46" s="3">
        <v>45736</v>
      </c>
      <c r="B46" s="4" t="s">
        <v>140</v>
      </c>
      <c r="C46" s="4" t="s">
        <v>85</v>
      </c>
      <c r="D46" s="4">
        <v>48</v>
      </c>
    </row>
    <row r="47" spans="1:4" ht="15.75" customHeight="1" x14ac:dyDescent="0.35">
      <c r="A47" s="3">
        <v>45715</v>
      </c>
      <c r="B47" s="4" t="s">
        <v>73</v>
      </c>
      <c r="C47" s="4" t="s">
        <v>13</v>
      </c>
      <c r="D47" s="4">
        <v>23</v>
      </c>
    </row>
    <row r="48" spans="1:4" ht="15.75" customHeight="1" x14ac:dyDescent="0.35">
      <c r="A48" s="3">
        <v>45672</v>
      </c>
      <c r="B48" s="4" t="s">
        <v>129</v>
      </c>
      <c r="C48" s="4" t="s">
        <v>41</v>
      </c>
      <c r="D48" s="4">
        <v>46</v>
      </c>
    </row>
    <row r="49" spans="1:4" ht="15.75" customHeight="1" x14ac:dyDescent="0.35">
      <c r="A49" s="3">
        <v>45738</v>
      </c>
      <c r="B49" s="4" t="s">
        <v>112</v>
      </c>
      <c r="C49" s="4" t="s">
        <v>31</v>
      </c>
      <c r="D49" s="4">
        <v>42</v>
      </c>
    </row>
    <row r="50" spans="1:4" ht="15.75" customHeight="1" x14ac:dyDescent="0.35">
      <c r="A50" s="3">
        <v>45728</v>
      </c>
      <c r="B50" s="4" t="s">
        <v>107</v>
      </c>
      <c r="C50" s="4" t="s">
        <v>24</v>
      </c>
      <c r="D50" s="4">
        <v>4</v>
      </c>
    </row>
    <row r="51" spans="1:4" ht="15.75" customHeight="1" x14ac:dyDescent="0.35">
      <c r="A51" s="3">
        <v>45745</v>
      </c>
      <c r="B51" s="4" t="s">
        <v>78</v>
      </c>
      <c r="C51" s="4" t="s">
        <v>79</v>
      </c>
      <c r="D51" s="4">
        <v>22</v>
      </c>
    </row>
    <row r="52" spans="1:4" ht="15.75" customHeight="1" x14ac:dyDescent="0.35">
      <c r="A52" s="3">
        <v>45697</v>
      </c>
      <c r="B52" s="4" t="s">
        <v>96</v>
      </c>
      <c r="C52" s="4" t="s">
        <v>50</v>
      </c>
      <c r="D52" s="4">
        <v>78</v>
      </c>
    </row>
    <row r="53" spans="1:4" ht="15.75" customHeight="1" x14ac:dyDescent="0.35">
      <c r="A53" s="3">
        <v>45745</v>
      </c>
      <c r="B53" s="4" t="s">
        <v>38</v>
      </c>
      <c r="C53" s="4" t="s">
        <v>39</v>
      </c>
      <c r="D53" s="4">
        <v>35</v>
      </c>
    </row>
    <row r="54" spans="1:4" ht="15.75" customHeight="1" x14ac:dyDescent="0.35">
      <c r="A54" s="3">
        <v>45685</v>
      </c>
      <c r="B54" s="4" t="s">
        <v>108</v>
      </c>
      <c r="C54" s="4" t="s">
        <v>109</v>
      </c>
      <c r="D54" s="4">
        <v>50</v>
      </c>
    </row>
    <row r="55" spans="1:4" ht="15.75" customHeight="1" x14ac:dyDescent="0.35">
      <c r="A55" s="3">
        <v>45678</v>
      </c>
      <c r="B55" s="4" t="s">
        <v>56</v>
      </c>
      <c r="C55" s="4" t="s">
        <v>5</v>
      </c>
      <c r="D55" s="4">
        <v>80</v>
      </c>
    </row>
    <row r="56" spans="1:4" ht="15.75" customHeight="1" x14ac:dyDescent="0.35">
      <c r="A56" s="3">
        <v>45667</v>
      </c>
      <c r="B56" s="4" t="s">
        <v>136</v>
      </c>
      <c r="C56" s="4" t="s">
        <v>79</v>
      </c>
      <c r="D56" s="4">
        <v>16</v>
      </c>
    </row>
    <row r="57" spans="1:4" ht="15.75" customHeight="1" x14ac:dyDescent="0.35">
      <c r="A57" s="3">
        <v>45707</v>
      </c>
      <c r="B57" s="4" t="s">
        <v>102</v>
      </c>
      <c r="C57" s="4" t="s">
        <v>41</v>
      </c>
      <c r="D57" s="4">
        <v>52</v>
      </c>
    </row>
    <row r="58" spans="1:4" ht="15.75" customHeight="1" x14ac:dyDescent="0.35">
      <c r="A58" s="3">
        <v>45714</v>
      </c>
      <c r="B58" s="4" t="s">
        <v>132</v>
      </c>
      <c r="C58" s="4" t="s">
        <v>26</v>
      </c>
      <c r="D58" s="4">
        <v>22</v>
      </c>
    </row>
    <row r="59" spans="1:4" ht="15.75" customHeight="1" x14ac:dyDescent="0.35">
      <c r="A59" s="3">
        <v>45704</v>
      </c>
      <c r="B59" s="4" t="s">
        <v>118</v>
      </c>
      <c r="C59" s="4" t="s">
        <v>52</v>
      </c>
      <c r="D59" s="4">
        <v>25</v>
      </c>
    </row>
    <row r="60" spans="1:4" ht="15.75" customHeight="1" x14ac:dyDescent="0.35">
      <c r="A60" s="3">
        <v>45724</v>
      </c>
      <c r="B60" s="4" t="s">
        <v>10</v>
      </c>
      <c r="C60" s="4" t="s">
        <v>8</v>
      </c>
      <c r="D60" s="4">
        <v>36</v>
      </c>
    </row>
    <row r="61" spans="1:4" ht="15.75" customHeight="1" x14ac:dyDescent="0.35">
      <c r="A61" s="3">
        <v>45701</v>
      </c>
      <c r="B61" s="4" t="s">
        <v>101</v>
      </c>
      <c r="C61" s="4" t="s">
        <v>24</v>
      </c>
      <c r="D61" s="4">
        <v>5</v>
      </c>
    </row>
    <row r="62" spans="1:4" ht="15.75" customHeight="1" x14ac:dyDescent="0.35">
      <c r="A62" s="3">
        <v>45712</v>
      </c>
      <c r="B62" s="4" t="s">
        <v>107</v>
      </c>
      <c r="C62" s="4" t="s">
        <v>24</v>
      </c>
      <c r="D62" s="4">
        <v>70</v>
      </c>
    </row>
    <row r="63" spans="1:4" ht="15.75" customHeight="1" x14ac:dyDescent="0.35">
      <c r="A63" s="3">
        <v>45746</v>
      </c>
      <c r="B63" s="4" t="s">
        <v>124</v>
      </c>
      <c r="C63" s="4" t="s">
        <v>26</v>
      </c>
      <c r="D63" s="4">
        <v>27</v>
      </c>
    </row>
    <row r="64" spans="1:4" ht="15.75" customHeight="1" x14ac:dyDescent="0.35">
      <c r="A64" s="3">
        <v>45712</v>
      </c>
      <c r="B64" s="4" t="s">
        <v>11</v>
      </c>
      <c r="C64" s="4" t="s">
        <v>5</v>
      </c>
      <c r="D64" s="4">
        <v>2</v>
      </c>
    </row>
    <row r="65" spans="1:4" ht="15.75" customHeight="1" x14ac:dyDescent="0.35">
      <c r="A65" s="3">
        <v>45671</v>
      </c>
      <c r="B65" s="4" t="s">
        <v>112</v>
      </c>
      <c r="C65" s="4" t="s">
        <v>31</v>
      </c>
      <c r="D65" s="4">
        <v>28</v>
      </c>
    </row>
    <row r="66" spans="1:4" ht="15.75" customHeight="1" x14ac:dyDescent="0.35">
      <c r="A66" s="3">
        <v>45717</v>
      </c>
      <c r="B66" s="4" t="s">
        <v>45</v>
      </c>
      <c r="C66" s="4" t="s">
        <v>24</v>
      </c>
      <c r="D66" s="4">
        <v>6</v>
      </c>
    </row>
    <row r="67" spans="1:4" ht="15.75" customHeight="1" x14ac:dyDescent="0.35">
      <c r="A67" s="3">
        <v>45667</v>
      </c>
      <c r="B67" s="4" t="s">
        <v>104</v>
      </c>
      <c r="C67" s="4" t="s">
        <v>5</v>
      </c>
      <c r="D67" s="4">
        <v>11</v>
      </c>
    </row>
    <row r="68" spans="1:4" ht="15.75" customHeight="1" x14ac:dyDescent="0.35">
      <c r="A68" s="3">
        <v>45701</v>
      </c>
      <c r="B68" s="4" t="s">
        <v>56</v>
      </c>
      <c r="C68" s="4" t="s">
        <v>5</v>
      </c>
      <c r="D68" s="4">
        <v>26</v>
      </c>
    </row>
    <row r="69" spans="1:4" ht="15.75" customHeight="1" x14ac:dyDescent="0.35">
      <c r="A69" s="3">
        <v>45710</v>
      </c>
      <c r="B69" s="4" t="s">
        <v>122</v>
      </c>
      <c r="C69" s="4" t="s">
        <v>26</v>
      </c>
      <c r="D69" s="4">
        <v>8</v>
      </c>
    </row>
    <row r="70" spans="1:4" ht="15.75" customHeight="1" x14ac:dyDescent="0.35">
      <c r="A70" s="3">
        <v>45737</v>
      </c>
      <c r="B70" s="4" t="s">
        <v>119</v>
      </c>
      <c r="C70" s="4" t="s">
        <v>16</v>
      </c>
      <c r="D70" s="4">
        <v>10</v>
      </c>
    </row>
    <row r="71" spans="1:4" ht="15.75" customHeight="1" x14ac:dyDescent="0.35">
      <c r="A71" s="3">
        <v>45711</v>
      </c>
      <c r="B71" s="4" t="s">
        <v>15</v>
      </c>
      <c r="C71" s="4" t="s">
        <v>16</v>
      </c>
      <c r="D71" s="4">
        <v>43</v>
      </c>
    </row>
    <row r="72" spans="1:4" ht="15.75" customHeight="1" x14ac:dyDescent="0.35">
      <c r="A72" s="3">
        <v>45745</v>
      </c>
      <c r="B72" s="4" t="s">
        <v>113</v>
      </c>
      <c r="C72" s="4" t="s">
        <v>85</v>
      </c>
      <c r="D72" s="4">
        <v>71</v>
      </c>
    </row>
    <row r="73" spans="1:4" ht="15.75" customHeight="1" x14ac:dyDescent="0.35">
      <c r="A73" s="3">
        <v>45685</v>
      </c>
      <c r="B73" s="4" t="s">
        <v>9</v>
      </c>
      <c r="C73" s="4" t="s">
        <v>8</v>
      </c>
      <c r="D73" s="4">
        <v>22</v>
      </c>
    </row>
    <row r="74" spans="1:4" ht="15.75" customHeight="1" x14ac:dyDescent="0.35">
      <c r="A74" s="3">
        <v>45744</v>
      </c>
      <c r="B74" s="4" t="s">
        <v>67</v>
      </c>
      <c r="C74" s="4" t="s">
        <v>39</v>
      </c>
      <c r="D74" s="4">
        <v>35</v>
      </c>
    </row>
    <row r="75" spans="1:4" ht="15.75" customHeight="1" x14ac:dyDescent="0.35">
      <c r="A75" s="3">
        <v>45744</v>
      </c>
      <c r="B75" s="4" t="s">
        <v>81</v>
      </c>
      <c r="C75" s="4" t="s">
        <v>82</v>
      </c>
      <c r="D75" s="4">
        <v>12</v>
      </c>
    </row>
    <row r="76" spans="1:4" ht="15.75" customHeight="1" x14ac:dyDescent="0.35">
      <c r="A76" s="3">
        <v>45725</v>
      </c>
      <c r="B76" s="4" t="s">
        <v>97</v>
      </c>
      <c r="C76" s="4" t="s">
        <v>52</v>
      </c>
      <c r="D76" s="4">
        <v>57</v>
      </c>
    </row>
    <row r="77" spans="1:4" ht="15.75" customHeight="1" x14ac:dyDescent="0.35">
      <c r="A77" s="3">
        <v>45702</v>
      </c>
      <c r="B77" s="4" t="s">
        <v>30</v>
      </c>
      <c r="C77" s="4" t="s">
        <v>31</v>
      </c>
      <c r="D77" s="4">
        <v>38</v>
      </c>
    </row>
    <row r="78" spans="1:4" ht="15.75" customHeight="1" x14ac:dyDescent="0.35">
      <c r="A78" s="3">
        <v>45698</v>
      </c>
      <c r="B78" s="4" t="s">
        <v>77</v>
      </c>
      <c r="C78" s="4" t="s">
        <v>50</v>
      </c>
      <c r="D78" s="4">
        <v>72</v>
      </c>
    </row>
    <row r="79" spans="1:4" ht="15.75" customHeight="1" x14ac:dyDescent="0.35">
      <c r="A79" s="3">
        <v>45657</v>
      </c>
      <c r="B79" s="4" t="s">
        <v>9</v>
      </c>
      <c r="C79" s="4" t="s">
        <v>8</v>
      </c>
      <c r="D79" s="4">
        <v>32</v>
      </c>
    </row>
    <row r="80" spans="1:4" ht="15.75" customHeight="1" x14ac:dyDescent="0.35">
      <c r="A80" s="3">
        <v>45687</v>
      </c>
      <c r="B80" s="4" t="s">
        <v>103</v>
      </c>
      <c r="C80" s="4" t="s">
        <v>26</v>
      </c>
      <c r="D80" s="4">
        <v>21</v>
      </c>
    </row>
    <row r="81" spans="1:4" ht="15.75" customHeight="1" x14ac:dyDescent="0.35">
      <c r="A81" s="3">
        <v>45711</v>
      </c>
      <c r="B81" s="4" t="s">
        <v>46</v>
      </c>
      <c r="C81" s="4" t="s">
        <v>20</v>
      </c>
      <c r="D81" s="4">
        <v>35</v>
      </c>
    </row>
    <row r="82" spans="1:4" ht="15.75" customHeight="1" x14ac:dyDescent="0.35">
      <c r="A82" s="3">
        <v>45688</v>
      </c>
      <c r="B82" s="4" t="s">
        <v>38</v>
      </c>
      <c r="C82" s="4" t="s">
        <v>39</v>
      </c>
      <c r="D82" s="4">
        <v>46</v>
      </c>
    </row>
    <row r="83" spans="1:4" ht="15.75" customHeight="1" x14ac:dyDescent="0.35">
      <c r="A83" s="3">
        <v>45746</v>
      </c>
      <c r="B83" s="4" t="s">
        <v>88</v>
      </c>
      <c r="C83" s="4" t="s">
        <v>75</v>
      </c>
      <c r="D83" s="4">
        <v>44</v>
      </c>
    </row>
    <row r="84" spans="1:4" ht="15.75" customHeight="1" x14ac:dyDescent="0.35">
      <c r="A84" s="3">
        <v>45733</v>
      </c>
      <c r="B84" s="4" t="s">
        <v>122</v>
      </c>
      <c r="C84" s="4" t="s">
        <v>26</v>
      </c>
      <c r="D84" s="4">
        <v>26</v>
      </c>
    </row>
    <row r="85" spans="1:4" ht="15.75" customHeight="1" x14ac:dyDescent="0.35">
      <c r="A85" s="3">
        <v>45704</v>
      </c>
      <c r="B85" s="4" t="s">
        <v>134</v>
      </c>
      <c r="C85" s="4" t="s">
        <v>85</v>
      </c>
      <c r="D85" s="4">
        <v>23</v>
      </c>
    </row>
    <row r="86" spans="1:4" ht="15.75" customHeight="1" x14ac:dyDescent="0.35">
      <c r="A86" s="3">
        <v>45742</v>
      </c>
      <c r="B86" s="4" t="s">
        <v>93</v>
      </c>
      <c r="C86" s="4" t="s">
        <v>82</v>
      </c>
      <c r="D86" s="4">
        <v>27</v>
      </c>
    </row>
    <row r="87" spans="1:4" ht="15.75" customHeight="1" x14ac:dyDescent="0.35">
      <c r="A87" s="3">
        <v>45721</v>
      </c>
      <c r="B87" s="4" t="s">
        <v>29</v>
      </c>
      <c r="C87" s="4" t="s">
        <v>16</v>
      </c>
      <c r="D87" s="4">
        <v>65</v>
      </c>
    </row>
    <row r="88" spans="1:4" ht="15.75" customHeight="1" x14ac:dyDescent="0.35">
      <c r="A88" s="3">
        <v>45667</v>
      </c>
      <c r="B88" s="4" t="s">
        <v>63</v>
      </c>
      <c r="C88" s="4" t="s">
        <v>26</v>
      </c>
      <c r="D88" s="4">
        <v>34</v>
      </c>
    </row>
    <row r="89" spans="1:4" ht="15.75" customHeight="1" x14ac:dyDescent="0.35">
      <c r="A89" s="3">
        <v>45725</v>
      </c>
      <c r="B89" s="4" t="s">
        <v>68</v>
      </c>
      <c r="C89" s="4" t="s">
        <v>62</v>
      </c>
      <c r="D89" s="4">
        <v>35</v>
      </c>
    </row>
    <row r="90" spans="1:4" ht="15.75" customHeight="1" x14ac:dyDescent="0.35">
      <c r="A90" s="3">
        <v>45688</v>
      </c>
      <c r="B90" s="4" t="s">
        <v>64</v>
      </c>
      <c r="C90" s="4" t="s">
        <v>41</v>
      </c>
      <c r="D90" s="4">
        <v>68</v>
      </c>
    </row>
    <row r="91" spans="1:4" ht="15.75" customHeight="1" x14ac:dyDescent="0.35">
      <c r="A91" s="3">
        <v>45675</v>
      </c>
      <c r="B91" s="4" t="s">
        <v>83</v>
      </c>
      <c r="C91" s="4" t="s">
        <v>5</v>
      </c>
      <c r="D91" s="4">
        <v>57</v>
      </c>
    </row>
    <row r="92" spans="1:4" ht="15.75" customHeight="1" x14ac:dyDescent="0.35">
      <c r="A92" s="3">
        <v>45726</v>
      </c>
      <c r="B92" s="4" t="s">
        <v>134</v>
      </c>
      <c r="C92" s="4" t="s">
        <v>85</v>
      </c>
      <c r="D92" s="4">
        <v>8</v>
      </c>
    </row>
    <row r="93" spans="1:4" ht="15.75" customHeight="1" x14ac:dyDescent="0.35">
      <c r="A93" s="3">
        <v>45732</v>
      </c>
      <c r="B93" s="4" t="s">
        <v>77</v>
      </c>
      <c r="C93" s="4" t="s">
        <v>50</v>
      </c>
      <c r="D93" s="4">
        <v>60</v>
      </c>
    </row>
    <row r="94" spans="1:4" ht="15.75" customHeight="1" x14ac:dyDescent="0.35">
      <c r="A94" s="3">
        <v>45674</v>
      </c>
      <c r="B94" s="4" t="s">
        <v>19</v>
      </c>
      <c r="C94" s="4" t="s">
        <v>20</v>
      </c>
      <c r="D94" s="4">
        <v>74</v>
      </c>
    </row>
    <row r="95" spans="1:4" ht="15.75" customHeight="1" x14ac:dyDescent="0.35">
      <c r="A95" s="3">
        <v>45671</v>
      </c>
      <c r="B95" s="4" t="s">
        <v>66</v>
      </c>
      <c r="C95" s="4" t="s">
        <v>52</v>
      </c>
      <c r="D95" s="4">
        <v>76</v>
      </c>
    </row>
    <row r="96" spans="1:4" ht="15.75" customHeight="1" x14ac:dyDescent="0.35">
      <c r="A96" s="3">
        <v>45711</v>
      </c>
      <c r="B96" s="4" t="s">
        <v>59</v>
      </c>
      <c r="C96" s="4" t="s">
        <v>16</v>
      </c>
      <c r="D96" s="4">
        <v>10</v>
      </c>
    </row>
    <row r="97" spans="1:4" ht="15.75" customHeight="1" x14ac:dyDescent="0.35">
      <c r="A97" s="3">
        <v>45702</v>
      </c>
      <c r="B97" s="4" t="s">
        <v>71</v>
      </c>
      <c r="C97" s="4" t="s">
        <v>20</v>
      </c>
      <c r="D97" s="4">
        <v>13</v>
      </c>
    </row>
    <row r="98" spans="1:4" ht="15.75" customHeight="1" x14ac:dyDescent="0.35">
      <c r="A98" s="3">
        <v>45744</v>
      </c>
      <c r="B98" s="4" t="s">
        <v>4</v>
      </c>
      <c r="C98" s="4" t="s">
        <v>5</v>
      </c>
      <c r="D98" s="4">
        <v>58</v>
      </c>
    </row>
    <row r="99" spans="1:4" ht="15.75" customHeight="1" x14ac:dyDescent="0.35">
      <c r="A99" s="3">
        <v>45735</v>
      </c>
      <c r="B99" s="4" t="s">
        <v>87</v>
      </c>
      <c r="C99" s="4" t="s">
        <v>39</v>
      </c>
      <c r="D99" s="4">
        <v>34</v>
      </c>
    </row>
    <row r="100" spans="1:4" ht="15.75" customHeight="1" x14ac:dyDescent="0.35">
      <c r="A100" s="3">
        <v>45687</v>
      </c>
      <c r="B100" s="4" t="s">
        <v>25</v>
      </c>
      <c r="C100" s="4" t="s">
        <v>26</v>
      </c>
      <c r="D100" s="4">
        <v>23</v>
      </c>
    </row>
    <row r="101" spans="1:4" ht="15.75" customHeight="1" x14ac:dyDescent="0.35">
      <c r="A101" s="3">
        <v>45717</v>
      </c>
      <c r="B101" s="4" t="s">
        <v>93</v>
      </c>
      <c r="C101" s="4" t="s">
        <v>82</v>
      </c>
      <c r="D101" s="4">
        <v>63</v>
      </c>
    </row>
    <row r="102" spans="1:4" ht="15.75" customHeight="1" x14ac:dyDescent="0.35">
      <c r="A102" s="3">
        <v>45738</v>
      </c>
      <c r="B102" s="4" t="s">
        <v>59</v>
      </c>
      <c r="C102" s="4" t="s">
        <v>16</v>
      </c>
      <c r="D102" s="4">
        <v>69</v>
      </c>
    </row>
    <row r="103" spans="1:4" ht="15.75" customHeight="1" x14ac:dyDescent="0.35">
      <c r="A103" s="3">
        <v>45664</v>
      </c>
      <c r="B103" s="4" t="s">
        <v>66</v>
      </c>
      <c r="C103" s="4" t="s">
        <v>52</v>
      </c>
      <c r="D103" s="4">
        <v>74</v>
      </c>
    </row>
    <row r="104" spans="1:4" ht="15.75" customHeight="1" x14ac:dyDescent="0.35">
      <c r="A104" s="3">
        <v>45716</v>
      </c>
      <c r="B104" s="4" t="s">
        <v>90</v>
      </c>
      <c r="C104" s="4" t="s">
        <v>39</v>
      </c>
      <c r="D104" s="4">
        <v>5</v>
      </c>
    </row>
    <row r="105" spans="1:4" ht="15.75" customHeight="1" x14ac:dyDescent="0.35">
      <c r="A105" s="3">
        <v>45661</v>
      </c>
      <c r="B105" s="4" t="s">
        <v>68</v>
      </c>
      <c r="C105" s="4" t="s">
        <v>62</v>
      </c>
      <c r="D105" s="4">
        <v>27</v>
      </c>
    </row>
    <row r="106" spans="1:4" ht="15.75" customHeight="1" x14ac:dyDescent="0.35">
      <c r="A106" s="3">
        <v>45704</v>
      </c>
      <c r="B106" s="4" t="s">
        <v>133</v>
      </c>
      <c r="C106" s="4" t="s">
        <v>24</v>
      </c>
      <c r="D106" s="4">
        <v>6</v>
      </c>
    </row>
    <row r="107" spans="1:4" ht="15.75" customHeight="1" x14ac:dyDescent="0.35">
      <c r="A107" s="3">
        <v>45731</v>
      </c>
      <c r="B107" s="4" t="s">
        <v>124</v>
      </c>
      <c r="C107" s="4" t="s">
        <v>26</v>
      </c>
      <c r="D107" s="4">
        <v>63</v>
      </c>
    </row>
    <row r="108" spans="1:4" ht="15.75" customHeight="1" x14ac:dyDescent="0.35">
      <c r="A108" s="3">
        <v>45671</v>
      </c>
      <c r="B108" s="4" t="s">
        <v>108</v>
      </c>
      <c r="C108" s="4" t="s">
        <v>109</v>
      </c>
      <c r="D108" s="4">
        <v>53</v>
      </c>
    </row>
    <row r="109" spans="1:4" ht="15.75" customHeight="1" x14ac:dyDescent="0.35">
      <c r="A109" s="3">
        <v>45700</v>
      </c>
      <c r="B109" s="4" t="s">
        <v>115</v>
      </c>
      <c r="C109" s="4" t="s">
        <v>50</v>
      </c>
      <c r="D109" s="4">
        <v>55</v>
      </c>
    </row>
    <row r="110" spans="1:4" ht="15.75" customHeight="1" x14ac:dyDescent="0.35">
      <c r="A110" s="3">
        <v>45732</v>
      </c>
      <c r="B110" s="4" t="s">
        <v>138</v>
      </c>
      <c r="C110" s="4" t="s">
        <v>85</v>
      </c>
      <c r="D110" s="4">
        <v>23</v>
      </c>
    </row>
    <row r="111" spans="1:4" ht="15.75" customHeight="1" x14ac:dyDescent="0.35">
      <c r="A111" s="3">
        <v>45658</v>
      </c>
      <c r="B111" s="4" t="s">
        <v>113</v>
      </c>
      <c r="C111" s="4" t="s">
        <v>85</v>
      </c>
      <c r="D111" s="4">
        <v>37</v>
      </c>
    </row>
    <row r="112" spans="1:4" ht="15.75" customHeight="1" x14ac:dyDescent="0.35">
      <c r="A112" s="3">
        <v>45686</v>
      </c>
      <c r="B112" s="4" t="s">
        <v>118</v>
      </c>
      <c r="C112" s="4" t="s">
        <v>52</v>
      </c>
      <c r="D112" s="4">
        <v>70</v>
      </c>
    </row>
    <row r="113" spans="1:4" ht="15.75" customHeight="1" x14ac:dyDescent="0.35">
      <c r="A113" s="3">
        <v>45696</v>
      </c>
      <c r="B113" s="4" t="s">
        <v>104</v>
      </c>
      <c r="C113" s="4" t="s">
        <v>5</v>
      </c>
      <c r="D113" s="4">
        <v>14</v>
      </c>
    </row>
    <row r="114" spans="1:4" ht="15.75" customHeight="1" x14ac:dyDescent="0.35">
      <c r="A114" s="3">
        <v>45720</v>
      </c>
      <c r="B114" s="4" t="s">
        <v>48</v>
      </c>
      <c r="C114" s="4" t="s">
        <v>22</v>
      </c>
      <c r="D114" s="4">
        <v>35</v>
      </c>
    </row>
    <row r="115" spans="1:4" ht="15.75" customHeight="1" x14ac:dyDescent="0.35">
      <c r="A115" s="3">
        <v>45687</v>
      </c>
      <c r="B115" s="4" t="s">
        <v>140</v>
      </c>
      <c r="C115" s="4" t="s">
        <v>85</v>
      </c>
      <c r="D115" s="4">
        <v>51</v>
      </c>
    </row>
    <row r="116" spans="1:4" ht="15.75" customHeight="1" x14ac:dyDescent="0.35">
      <c r="A116" s="3">
        <v>45739</v>
      </c>
      <c r="B116" s="4" t="s">
        <v>83</v>
      </c>
      <c r="C116" s="4" t="s">
        <v>5</v>
      </c>
      <c r="D116" s="4">
        <v>18</v>
      </c>
    </row>
    <row r="117" spans="1:4" ht="15.75" customHeight="1" x14ac:dyDescent="0.35">
      <c r="A117" s="3">
        <v>45735</v>
      </c>
      <c r="B117" s="4" t="s">
        <v>81</v>
      </c>
      <c r="C117" s="4" t="s">
        <v>82</v>
      </c>
      <c r="D117" s="4">
        <v>57</v>
      </c>
    </row>
    <row r="118" spans="1:4" ht="15.75" customHeight="1" x14ac:dyDescent="0.35">
      <c r="A118" s="3">
        <v>45706</v>
      </c>
      <c r="B118" s="4" t="s">
        <v>139</v>
      </c>
      <c r="C118" s="4" t="s">
        <v>109</v>
      </c>
      <c r="D118" s="4">
        <v>42</v>
      </c>
    </row>
    <row r="119" spans="1:4" ht="15.75" customHeight="1" x14ac:dyDescent="0.35">
      <c r="A119" s="3">
        <v>45664</v>
      </c>
      <c r="B119" s="4" t="s">
        <v>110</v>
      </c>
      <c r="C119" s="4" t="s">
        <v>8</v>
      </c>
      <c r="D119" s="4">
        <v>12</v>
      </c>
    </row>
    <row r="120" spans="1:4" ht="15.75" customHeight="1" x14ac:dyDescent="0.35">
      <c r="A120" s="3">
        <v>45680</v>
      </c>
      <c r="B120" s="4" t="s">
        <v>51</v>
      </c>
      <c r="C120" s="4" t="s">
        <v>52</v>
      </c>
      <c r="D120" s="4">
        <v>33</v>
      </c>
    </row>
    <row r="121" spans="1:4" ht="15.75" customHeight="1" x14ac:dyDescent="0.35">
      <c r="A121" s="3">
        <v>45689</v>
      </c>
      <c r="B121" s="4" t="s">
        <v>127</v>
      </c>
      <c r="C121" s="4" t="s">
        <v>22</v>
      </c>
      <c r="D121" s="4">
        <v>44</v>
      </c>
    </row>
    <row r="122" spans="1:4" ht="15.75" customHeight="1" x14ac:dyDescent="0.35">
      <c r="A122" s="3">
        <v>45730</v>
      </c>
      <c r="B122" s="4" t="s">
        <v>66</v>
      </c>
      <c r="C122" s="4" t="s">
        <v>52</v>
      </c>
      <c r="D122" s="4">
        <v>70</v>
      </c>
    </row>
    <row r="123" spans="1:4" ht="15.75" customHeight="1" x14ac:dyDescent="0.35">
      <c r="A123" s="3">
        <v>45698</v>
      </c>
      <c r="B123" s="4" t="s">
        <v>12</v>
      </c>
      <c r="C123" s="4" t="s">
        <v>13</v>
      </c>
      <c r="D123" s="4">
        <v>63</v>
      </c>
    </row>
    <row r="124" spans="1:4" ht="15.75" customHeight="1" x14ac:dyDescent="0.35">
      <c r="A124" s="3">
        <v>45669</v>
      </c>
      <c r="B124" s="4" t="s">
        <v>73</v>
      </c>
      <c r="C124" s="4" t="s">
        <v>13</v>
      </c>
      <c r="D124" s="4">
        <v>2</v>
      </c>
    </row>
    <row r="125" spans="1:4" ht="15.75" customHeight="1" x14ac:dyDescent="0.35">
      <c r="A125" s="3">
        <v>45673</v>
      </c>
      <c r="B125" s="4" t="s">
        <v>68</v>
      </c>
      <c r="C125" s="4" t="s">
        <v>62</v>
      </c>
      <c r="D125" s="4">
        <v>40</v>
      </c>
    </row>
    <row r="126" spans="1:4" ht="15.75" customHeight="1" x14ac:dyDescent="0.35">
      <c r="A126" s="3">
        <v>45684</v>
      </c>
      <c r="B126" s="4" t="s">
        <v>130</v>
      </c>
      <c r="C126" s="4" t="s">
        <v>52</v>
      </c>
      <c r="D126" s="4">
        <v>39</v>
      </c>
    </row>
    <row r="127" spans="1:4" ht="15.75" customHeight="1" x14ac:dyDescent="0.35">
      <c r="A127" s="3">
        <v>45680</v>
      </c>
      <c r="B127" s="4" t="s">
        <v>67</v>
      </c>
      <c r="C127" s="4" t="s">
        <v>39</v>
      </c>
      <c r="D127" s="4">
        <v>80</v>
      </c>
    </row>
    <row r="128" spans="1:4" ht="15.75" customHeight="1" x14ac:dyDescent="0.35">
      <c r="A128" s="3">
        <v>45738</v>
      </c>
      <c r="B128" s="4" t="s">
        <v>110</v>
      </c>
      <c r="C128" s="4" t="s">
        <v>8</v>
      </c>
      <c r="D128" s="4">
        <v>3</v>
      </c>
    </row>
    <row r="129" spans="1:4" ht="15.75" customHeight="1" x14ac:dyDescent="0.35">
      <c r="A129" s="3">
        <v>45661</v>
      </c>
      <c r="B129" s="4" t="s">
        <v>108</v>
      </c>
      <c r="C129" s="4" t="s">
        <v>109</v>
      </c>
      <c r="D129" s="4">
        <v>37</v>
      </c>
    </row>
    <row r="130" spans="1:4" ht="15.75" customHeight="1" x14ac:dyDescent="0.35">
      <c r="A130" s="3">
        <v>45728</v>
      </c>
      <c r="B130" s="4" t="s">
        <v>42</v>
      </c>
      <c r="C130" s="4" t="s">
        <v>24</v>
      </c>
      <c r="D130" s="4">
        <v>58</v>
      </c>
    </row>
    <row r="131" spans="1:4" ht="15.75" customHeight="1" x14ac:dyDescent="0.35">
      <c r="A131" s="3">
        <v>45661</v>
      </c>
      <c r="B131" s="4" t="s">
        <v>17</v>
      </c>
      <c r="C131" s="4" t="s">
        <v>16</v>
      </c>
      <c r="D131" s="4">
        <v>9</v>
      </c>
    </row>
    <row r="132" spans="1:4" ht="15.75" customHeight="1" x14ac:dyDescent="0.35">
      <c r="A132" s="3">
        <v>45685</v>
      </c>
      <c r="B132" s="4" t="s">
        <v>70</v>
      </c>
      <c r="C132" s="4" t="s">
        <v>52</v>
      </c>
      <c r="D132" s="4">
        <v>23</v>
      </c>
    </row>
    <row r="133" spans="1:4" ht="15.75" customHeight="1" x14ac:dyDescent="0.35">
      <c r="A133" s="3">
        <v>45697</v>
      </c>
      <c r="B133" s="4" t="s">
        <v>45</v>
      </c>
      <c r="C133" s="4" t="s">
        <v>24</v>
      </c>
      <c r="D133" s="4">
        <v>7</v>
      </c>
    </row>
    <row r="134" spans="1:4" ht="15.75" customHeight="1" x14ac:dyDescent="0.35">
      <c r="A134" s="3">
        <v>45740</v>
      </c>
      <c r="B134" s="4" t="s">
        <v>59</v>
      </c>
      <c r="C134" s="4" t="s">
        <v>16</v>
      </c>
      <c r="D134" s="4">
        <v>38</v>
      </c>
    </row>
    <row r="135" spans="1:4" ht="15.75" customHeight="1" x14ac:dyDescent="0.35">
      <c r="A135" s="3">
        <v>45712</v>
      </c>
      <c r="B135" s="4" t="s">
        <v>45</v>
      </c>
      <c r="C135" s="4" t="s">
        <v>24</v>
      </c>
      <c r="D135" s="4">
        <v>56</v>
      </c>
    </row>
    <row r="136" spans="1:4" ht="15.75" customHeight="1" x14ac:dyDescent="0.35">
      <c r="A136" s="3">
        <v>45735</v>
      </c>
      <c r="B136" s="4" t="s">
        <v>128</v>
      </c>
      <c r="C136" s="4" t="s">
        <v>82</v>
      </c>
      <c r="D136" s="4">
        <v>4</v>
      </c>
    </row>
    <row r="137" spans="1:4" ht="15.75" customHeight="1" x14ac:dyDescent="0.35">
      <c r="A137" s="3">
        <v>45689</v>
      </c>
      <c r="B137" s="4" t="s">
        <v>133</v>
      </c>
      <c r="C137" s="4" t="s">
        <v>24</v>
      </c>
      <c r="D137" s="4">
        <v>79</v>
      </c>
    </row>
    <row r="138" spans="1:4" ht="15.75" customHeight="1" x14ac:dyDescent="0.35">
      <c r="A138" s="3">
        <v>45698</v>
      </c>
      <c r="B138" s="4" t="s">
        <v>140</v>
      </c>
      <c r="C138" s="4" t="s">
        <v>85</v>
      </c>
      <c r="D138" s="4">
        <v>1</v>
      </c>
    </row>
    <row r="139" spans="1:4" ht="15.75" customHeight="1" x14ac:dyDescent="0.35">
      <c r="A139" s="3">
        <v>45664</v>
      </c>
      <c r="B139" s="4" t="s">
        <v>130</v>
      </c>
      <c r="C139" s="4" t="s">
        <v>52</v>
      </c>
      <c r="D139" s="4">
        <v>27</v>
      </c>
    </row>
    <row r="140" spans="1:4" ht="15.75" customHeight="1" x14ac:dyDescent="0.35">
      <c r="A140" s="3">
        <v>45722</v>
      </c>
      <c r="B140" s="4" t="s">
        <v>96</v>
      </c>
      <c r="C140" s="4" t="s">
        <v>50</v>
      </c>
      <c r="D140" s="4">
        <v>49</v>
      </c>
    </row>
    <row r="141" spans="1:4" ht="15.75" customHeight="1" x14ac:dyDescent="0.35">
      <c r="A141" s="3">
        <v>45715</v>
      </c>
      <c r="B141" s="4" t="s">
        <v>129</v>
      </c>
      <c r="C141" s="4" t="s">
        <v>41</v>
      </c>
      <c r="D141" s="4">
        <v>2</v>
      </c>
    </row>
    <row r="142" spans="1:4" ht="15.75" customHeight="1" x14ac:dyDescent="0.35">
      <c r="A142" s="3">
        <v>45725</v>
      </c>
      <c r="B142" s="4" t="s">
        <v>48</v>
      </c>
      <c r="C142" s="4" t="s">
        <v>22</v>
      </c>
      <c r="D142" s="4">
        <v>33</v>
      </c>
    </row>
    <row r="143" spans="1:4" ht="15.75" customHeight="1" x14ac:dyDescent="0.35">
      <c r="A143" s="3">
        <v>45679</v>
      </c>
      <c r="B143" s="4" t="s">
        <v>106</v>
      </c>
      <c r="C143" s="4" t="s">
        <v>50</v>
      </c>
      <c r="D143" s="4">
        <v>17</v>
      </c>
    </row>
    <row r="144" spans="1:4" ht="15.75" customHeight="1" x14ac:dyDescent="0.35">
      <c r="A144" s="3">
        <v>45667</v>
      </c>
      <c r="B144" s="4" t="s">
        <v>4</v>
      </c>
      <c r="C144" s="4" t="s">
        <v>5</v>
      </c>
      <c r="D144" s="4">
        <v>80</v>
      </c>
    </row>
    <row r="145" spans="1:4" ht="15.75" customHeight="1" x14ac:dyDescent="0.35">
      <c r="A145" s="3">
        <v>45685</v>
      </c>
      <c r="B145" s="4" t="s">
        <v>118</v>
      </c>
      <c r="C145" s="4" t="s">
        <v>52</v>
      </c>
      <c r="D145" s="4">
        <v>35</v>
      </c>
    </row>
    <row r="146" spans="1:4" ht="15.75" customHeight="1" x14ac:dyDescent="0.35">
      <c r="A146" s="3">
        <v>45701</v>
      </c>
      <c r="B146" s="4" t="s">
        <v>135</v>
      </c>
      <c r="C146" s="4" t="s">
        <v>62</v>
      </c>
      <c r="D146" s="4">
        <v>24</v>
      </c>
    </row>
    <row r="147" spans="1:4" ht="15.75" customHeight="1" x14ac:dyDescent="0.35">
      <c r="A147" s="3">
        <v>45713</v>
      </c>
      <c r="B147" s="4" t="s">
        <v>56</v>
      </c>
      <c r="C147" s="4" t="s">
        <v>5</v>
      </c>
      <c r="D147" s="4">
        <v>30</v>
      </c>
    </row>
    <row r="148" spans="1:4" ht="15.75" customHeight="1" x14ac:dyDescent="0.35">
      <c r="A148" s="3">
        <v>45738</v>
      </c>
      <c r="B148" s="4" t="s">
        <v>96</v>
      </c>
      <c r="C148" s="4" t="s">
        <v>50</v>
      </c>
      <c r="D148" s="4">
        <v>1</v>
      </c>
    </row>
    <row r="149" spans="1:4" ht="15.75" customHeight="1" x14ac:dyDescent="0.35">
      <c r="A149" s="3">
        <v>45703</v>
      </c>
      <c r="B149" s="4" t="s">
        <v>70</v>
      </c>
      <c r="C149" s="4" t="s">
        <v>52</v>
      </c>
      <c r="D149" s="4">
        <v>23</v>
      </c>
    </row>
    <row r="150" spans="1:4" ht="15.75" customHeight="1" x14ac:dyDescent="0.35">
      <c r="A150" s="3">
        <v>45709</v>
      </c>
      <c r="B150" s="4" t="s">
        <v>124</v>
      </c>
      <c r="C150" s="4" t="s">
        <v>26</v>
      </c>
      <c r="D150" s="4">
        <v>20</v>
      </c>
    </row>
    <row r="151" spans="1:4" ht="15.75" customHeight="1" x14ac:dyDescent="0.35">
      <c r="A151" s="3">
        <v>45691</v>
      </c>
      <c r="B151" s="4" t="s">
        <v>63</v>
      </c>
      <c r="C151" s="4" t="s">
        <v>26</v>
      </c>
      <c r="D151" s="4">
        <v>51</v>
      </c>
    </row>
    <row r="152" spans="1:4" ht="15.75" customHeight="1" x14ac:dyDescent="0.35">
      <c r="A152" s="3">
        <v>45670</v>
      </c>
      <c r="B152" s="4" t="s">
        <v>118</v>
      </c>
      <c r="C152" s="4" t="s">
        <v>52</v>
      </c>
      <c r="D152" s="4">
        <v>50</v>
      </c>
    </row>
    <row r="153" spans="1:4" ht="15.75" customHeight="1" x14ac:dyDescent="0.35">
      <c r="A153" s="3">
        <v>45745</v>
      </c>
      <c r="B153" s="4" t="s">
        <v>139</v>
      </c>
      <c r="C153" s="4" t="s">
        <v>109</v>
      </c>
      <c r="D153" s="4">
        <v>27</v>
      </c>
    </row>
    <row r="154" spans="1:4" ht="15.75" customHeight="1" x14ac:dyDescent="0.35">
      <c r="A154" s="3">
        <v>45694</v>
      </c>
      <c r="B154" s="4" t="s">
        <v>65</v>
      </c>
      <c r="C154" s="4" t="s">
        <v>5</v>
      </c>
      <c r="D154" s="4">
        <v>10</v>
      </c>
    </row>
    <row r="155" spans="1:4" ht="15.75" customHeight="1" x14ac:dyDescent="0.35">
      <c r="A155" s="3">
        <v>45731</v>
      </c>
      <c r="B155" s="4" t="s">
        <v>117</v>
      </c>
      <c r="C155" s="4" t="s">
        <v>28</v>
      </c>
      <c r="D155" s="4">
        <v>53</v>
      </c>
    </row>
    <row r="156" spans="1:4" ht="15.75" customHeight="1" x14ac:dyDescent="0.35">
      <c r="A156" s="3">
        <v>45716</v>
      </c>
      <c r="B156" s="4" t="s">
        <v>97</v>
      </c>
      <c r="C156" s="4" t="s">
        <v>52</v>
      </c>
      <c r="D156" s="4">
        <v>63</v>
      </c>
    </row>
    <row r="157" spans="1:4" ht="15.75" customHeight="1" x14ac:dyDescent="0.35">
      <c r="A157" s="3">
        <v>45707</v>
      </c>
      <c r="B157" s="4" t="s">
        <v>104</v>
      </c>
      <c r="C157" s="4" t="s">
        <v>5</v>
      </c>
      <c r="D157" s="4">
        <v>27</v>
      </c>
    </row>
    <row r="158" spans="1:4" ht="15.75" customHeight="1" x14ac:dyDescent="0.35">
      <c r="A158" s="3">
        <v>45666</v>
      </c>
      <c r="B158" s="4" t="s">
        <v>63</v>
      </c>
      <c r="C158" s="4" t="s">
        <v>26</v>
      </c>
      <c r="D158" s="4">
        <v>75</v>
      </c>
    </row>
    <row r="159" spans="1:4" ht="15.75" customHeight="1" x14ac:dyDescent="0.35">
      <c r="A159" s="3">
        <v>45685</v>
      </c>
      <c r="B159" s="4" t="s">
        <v>74</v>
      </c>
      <c r="C159" s="4" t="s">
        <v>75</v>
      </c>
      <c r="D159" s="4">
        <v>54</v>
      </c>
    </row>
    <row r="160" spans="1:4" ht="15.75" customHeight="1" x14ac:dyDescent="0.35">
      <c r="A160" s="3">
        <v>45692</v>
      </c>
      <c r="B160" s="4" t="s">
        <v>10</v>
      </c>
      <c r="C160" s="4" t="s">
        <v>8</v>
      </c>
      <c r="D160" s="4">
        <v>34</v>
      </c>
    </row>
    <row r="161" spans="1:4" ht="15.75" customHeight="1" x14ac:dyDescent="0.35">
      <c r="A161" s="3">
        <v>45666</v>
      </c>
      <c r="B161" s="4" t="s">
        <v>88</v>
      </c>
      <c r="C161" s="4" t="s">
        <v>75</v>
      </c>
      <c r="D161" s="4">
        <v>64</v>
      </c>
    </row>
    <row r="162" spans="1:4" ht="15.75" customHeight="1" x14ac:dyDescent="0.35">
      <c r="A162" s="3">
        <v>45667</v>
      </c>
      <c r="B162" s="4" t="s">
        <v>105</v>
      </c>
      <c r="C162" s="4" t="s">
        <v>79</v>
      </c>
      <c r="D162" s="4">
        <v>15</v>
      </c>
    </row>
    <row r="163" spans="1:4" ht="15.75" customHeight="1" x14ac:dyDescent="0.35">
      <c r="A163" s="3">
        <v>45742</v>
      </c>
      <c r="B163" s="4" t="s">
        <v>53</v>
      </c>
      <c r="C163" s="4" t="s">
        <v>50</v>
      </c>
      <c r="D163" s="4">
        <v>45</v>
      </c>
    </row>
    <row r="164" spans="1:4" ht="15.75" customHeight="1" x14ac:dyDescent="0.35">
      <c r="A164" s="3">
        <v>45667</v>
      </c>
      <c r="B164" s="4" t="s">
        <v>69</v>
      </c>
      <c r="C164" s="4" t="s">
        <v>24</v>
      </c>
      <c r="D164" s="4">
        <v>74</v>
      </c>
    </row>
    <row r="165" spans="1:4" ht="15.75" customHeight="1" x14ac:dyDescent="0.35">
      <c r="A165" s="3">
        <v>45688</v>
      </c>
      <c r="B165" s="4" t="s">
        <v>49</v>
      </c>
      <c r="C165" s="4" t="s">
        <v>50</v>
      </c>
      <c r="D165" s="4">
        <v>40</v>
      </c>
    </row>
    <row r="166" spans="1:4" ht="15.75" customHeight="1" x14ac:dyDescent="0.35">
      <c r="A166" s="3">
        <v>45727</v>
      </c>
      <c r="B166" s="4" t="s">
        <v>55</v>
      </c>
      <c r="C166" s="4" t="s">
        <v>24</v>
      </c>
      <c r="D166" s="4">
        <v>2</v>
      </c>
    </row>
    <row r="167" spans="1:4" ht="15.75" customHeight="1" x14ac:dyDescent="0.35">
      <c r="A167" s="3">
        <v>45711</v>
      </c>
      <c r="B167" s="4" t="s">
        <v>71</v>
      </c>
      <c r="C167" s="4" t="s">
        <v>20</v>
      </c>
      <c r="D167" s="4">
        <v>41</v>
      </c>
    </row>
    <row r="168" spans="1:4" ht="15.75" customHeight="1" x14ac:dyDescent="0.35">
      <c r="A168" s="3">
        <v>45738</v>
      </c>
      <c r="B168" s="4" t="s">
        <v>17</v>
      </c>
      <c r="C168" s="4" t="s">
        <v>16</v>
      </c>
      <c r="D168" s="4">
        <v>57</v>
      </c>
    </row>
    <row r="169" spans="1:4" ht="15.75" customHeight="1" x14ac:dyDescent="0.35">
      <c r="A169" s="3">
        <v>45718</v>
      </c>
      <c r="B169" s="4" t="s">
        <v>19</v>
      </c>
      <c r="C169" s="4" t="s">
        <v>20</v>
      </c>
      <c r="D169" s="4">
        <v>33</v>
      </c>
    </row>
    <row r="170" spans="1:4" ht="15.75" customHeight="1" x14ac:dyDescent="0.35">
      <c r="A170" s="3">
        <v>45696</v>
      </c>
      <c r="B170" s="4" t="s">
        <v>19</v>
      </c>
      <c r="C170" s="4" t="s">
        <v>20</v>
      </c>
      <c r="D170" s="4">
        <v>63</v>
      </c>
    </row>
    <row r="171" spans="1:4" ht="15.75" customHeight="1" x14ac:dyDescent="0.35">
      <c r="A171" s="3">
        <v>45678</v>
      </c>
      <c r="B171" s="4" t="s">
        <v>111</v>
      </c>
      <c r="C171" s="4" t="s">
        <v>109</v>
      </c>
      <c r="D171" s="4">
        <v>56</v>
      </c>
    </row>
    <row r="172" spans="1:4" ht="15.75" customHeight="1" x14ac:dyDescent="0.35">
      <c r="A172" s="3">
        <v>45678</v>
      </c>
      <c r="B172" s="4" t="s">
        <v>18</v>
      </c>
      <c r="C172" s="4" t="s">
        <v>13</v>
      </c>
      <c r="D172" s="4">
        <v>64</v>
      </c>
    </row>
    <row r="173" spans="1:4" ht="15.75" customHeight="1" x14ac:dyDescent="0.35">
      <c r="A173" s="3">
        <v>45701</v>
      </c>
      <c r="B173" s="4" t="s">
        <v>72</v>
      </c>
      <c r="C173" s="4" t="s">
        <v>13</v>
      </c>
      <c r="D173" s="4">
        <v>75</v>
      </c>
    </row>
    <row r="174" spans="1:4" ht="15.75" customHeight="1" x14ac:dyDescent="0.35">
      <c r="A174" s="3">
        <v>45691</v>
      </c>
      <c r="B174" s="4" t="s">
        <v>101</v>
      </c>
      <c r="C174" s="4" t="s">
        <v>24</v>
      </c>
      <c r="D174" s="4">
        <v>63</v>
      </c>
    </row>
    <row r="175" spans="1:4" ht="15.75" customHeight="1" x14ac:dyDescent="0.35">
      <c r="A175" s="3">
        <v>45681</v>
      </c>
      <c r="B175" s="4" t="s">
        <v>48</v>
      </c>
      <c r="C175" s="4" t="s">
        <v>22</v>
      </c>
      <c r="D175" s="4">
        <v>6</v>
      </c>
    </row>
    <row r="176" spans="1:4" ht="15.75" customHeight="1" x14ac:dyDescent="0.35">
      <c r="A176" s="3">
        <v>45672</v>
      </c>
      <c r="B176" s="4" t="s">
        <v>139</v>
      </c>
      <c r="C176" s="4" t="s">
        <v>109</v>
      </c>
      <c r="D176" s="4">
        <v>36</v>
      </c>
    </row>
    <row r="177" spans="1:4" ht="15.75" customHeight="1" x14ac:dyDescent="0.35">
      <c r="A177" s="3">
        <v>45698</v>
      </c>
      <c r="B177" s="4" t="s">
        <v>70</v>
      </c>
      <c r="C177" s="4" t="s">
        <v>52</v>
      </c>
      <c r="D177" s="4">
        <v>40</v>
      </c>
    </row>
    <row r="178" spans="1:4" ht="15.75" customHeight="1" x14ac:dyDescent="0.35">
      <c r="A178" s="3">
        <v>45697</v>
      </c>
      <c r="B178" s="4" t="s">
        <v>53</v>
      </c>
      <c r="C178" s="4" t="s">
        <v>50</v>
      </c>
      <c r="D178" s="4">
        <v>11</v>
      </c>
    </row>
    <row r="179" spans="1:4" ht="15.75" customHeight="1" x14ac:dyDescent="0.35">
      <c r="A179" s="3">
        <v>45672</v>
      </c>
      <c r="B179" s="4" t="s">
        <v>98</v>
      </c>
      <c r="C179" s="4" t="s">
        <v>22</v>
      </c>
      <c r="D179" s="4">
        <v>17</v>
      </c>
    </row>
    <row r="180" spans="1:4" ht="15.75" customHeight="1" x14ac:dyDescent="0.35">
      <c r="A180" s="3">
        <v>45721</v>
      </c>
      <c r="B180" s="4" t="s">
        <v>66</v>
      </c>
      <c r="C180" s="4" t="s">
        <v>52</v>
      </c>
      <c r="D180" s="4">
        <v>3</v>
      </c>
    </row>
    <row r="181" spans="1:4" ht="15.75" customHeight="1" x14ac:dyDescent="0.35">
      <c r="A181" s="3">
        <v>45675</v>
      </c>
      <c r="B181" s="4" t="s">
        <v>42</v>
      </c>
      <c r="C181" s="4" t="s">
        <v>24</v>
      </c>
      <c r="D181" s="4">
        <v>39</v>
      </c>
    </row>
    <row r="182" spans="1:4" ht="15.75" customHeight="1" x14ac:dyDescent="0.35">
      <c r="A182" s="3">
        <v>45723</v>
      </c>
      <c r="B182" s="4" t="s">
        <v>132</v>
      </c>
      <c r="C182" s="4" t="s">
        <v>26</v>
      </c>
      <c r="D182" s="4">
        <v>34</v>
      </c>
    </row>
    <row r="183" spans="1:4" ht="15.75" customHeight="1" x14ac:dyDescent="0.35">
      <c r="A183" s="3">
        <v>45685</v>
      </c>
      <c r="B183" s="4" t="s">
        <v>80</v>
      </c>
      <c r="C183" s="4" t="s">
        <v>22</v>
      </c>
      <c r="D183" s="4">
        <v>14</v>
      </c>
    </row>
    <row r="184" spans="1:4" ht="15.75" customHeight="1" x14ac:dyDescent="0.35">
      <c r="A184" s="3">
        <v>45688</v>
      </c>
      <c r="B184" s="4" t="s">
        <v>72</v>
      </c>
      <c r="C184" s="4" t="s">
        <v>13</v>
      </c>
      <c r="D184" s="4">
        <v>6</v>
      </c>
    </row>
    <row r="185" spans="1:4" ht="15.75" customHeight="1" x14ac:dyDescent="0.35">
      <c r="A185" s="3">
        <v>45683</v>
      </c>
      <c r="B185" s="4" t="s">
        <v>71</v>
      </c>
      <c r="C185" s="4" t="s">
        <v>20</v>
      </c>
      <c r="D185" s="4">
        <v>44</v>
      </c>
    </row>
    <row r="186" spans="1:4" ht="15.75" customHeight="1" x14ac:dyDescent="0.35">
      <c r="A186" s="3">
        <v>45704</v>
      </c>
      <c r="B186" s="4" t="s">
        <v>69</v>
      </c>
      <c r="C186" s="4" t="s">
        <v>24</v>
      </c>
      <c r="D186" s="4">
        <v>66</v>
      </c>
    </row>
    <row r="187" spans="1:4" ht="15.75" customHeight="1" x14ac:dyDescent="0.35">
      <c r="A187" s="3">
        <v>45679</v>
      </c>
      <c r="B187" s="4" t="s">
        <v>93</v>
      </c>
      <c r="C187" s="4" t="s">
        <v>82</v>
      </c>
      <c r="D187" s="4">
        <v>57</v>
      </c>
    </row>
    <row r="188" spans="1:4" ht="15.75" customHeight="1" x14ac:dyDescent="0.35">
      <c r="A188" s="3">
        <v>45682</v>
      </c>
      <c r="B188" s="4" t="s">
        <v>114</v>
      </c>
      <c r="C188" s="4" t="s">
        <v>75</v>
      </c>
      <c r="D188" s="4">
        <v>17</v>
      </c>
    </row>
    <row r="189" spans="1:4" ht="15.75" customHeight="1" x14ac:dyDescent="0.35">
      <c r="A189" s="3">
        <v>45732</v>
      </c>
      <c r="B189" s="4" t="s">
        <v>32</v>
      </c>
      <c r="C189" s="4" t="s">
        <v>22</v>
      </c>
      <c r="D189" s="4">
        <v>25</v>
      </c>
    </row>
    <row r="190" spans="1:4" ht="15.75" customHeight="1" x14ac:dyDescent="0.35">
      <c r="A190" s="3">
        <v>45663</v>
      </c>
      <c r="B190" s="4" t="s">
        <v>15</v>
      </c>
      <c r="C190" s="4" t="s">
        <v>16</v>
      </c>
      <c r="D190" s="4">
        <v>23</v>
      </c>
    </row>
    <row r="191" spans="1:4" ht="15.75" customHeight="1" x14ac:dyDescent="0.35">
      <c r="A191" s="3">
        <v>45684</v>
      </c>
      <c r="B191" s="4" t="s">
        <v>7</v>
      </c>
      <c r="C191" s="4" t="s">
        <v>8</v>
      </c>
      <c r="D191" s="4">
        <v>1</v>
      </c>
    </row>
    <row r="192" spans="1:4" ht="15.75" customHeight="1" x14ac:dyDescent="0.35">
      <c r="A192" s="3">
        <v>45733</v>
      </c>
      <c r="B192" s="4" t="s">
        <v>59</v>
      </c>
      <c r="C192" s="4" t="s">
        <v>16</v>
      </c>
      <c r="D192" s="4">
        <v>58</v>
      </c>
    </row>
    <row r="193" spans="1:4" ht="15.75" customHeight="1" x14ac:dyDescent="0.35">
      <c r="A193" s="3">
        <v>45731</v>
      </c>
      <c r="B193" s="4" t="s">
        <v>120</v>
      </c>
      <c r="C193" s="4" t="s">
        <v>26</v>
      </c>
      <c r="D193" s="4">
        <v>39</v>
      </c>
    </row>
    <row r="194" spans="1:4" ht="15.75" customHeight="1" x14ac:dyDescent="0.35">
      <c r="A194" s="3">
        <v>45729</v>
      </c>
      <c r="B194" s="4" t="s">
        <v>6</v>
      </c>
      <c r="C194" s="4" t="s">
        <v>5</v>
      </c>
      <c r="D194" s="4">
        <v>66</v>
      </c>
    </row>
    <row r="195" spans="1:4" ht="15.75" customHeight="1" x14ac:dyDescent="0.35">
      <c r="A195" s="3">
        <v>45736</v>
      </c>
      <c r="B195" s="4" t="s">
        <v>40</v>
      </c>
      <c r="C195" s="4" t="s">
        <v>41</v>
      </c>
      <c r="D195" s="4">
        <v>60</v>
      </c>
    </row>
    <row r="196" spans="1:4" ht="15.75" customHeight="1" x14ac:dyDescent="0.35">
      <c r="A196" s="3">
        <v>45724</v>
      </c>
      <c r="B196" s="4" t="s">
        <v>45</v>
      </c>
      <c r="C196" s="4" t="s">
        <v>24</v>
      </c>
      <c r="D196" s="4">
        <v>18</v>
      </c>
    </row>
    <row r="197" spans="1:4" ht="15.75" customHeight="1" x14ac:dyDescent="0.35">
      <c r="A197" s="3">
        <v>45701</v>
      </c>
      <c r="B197" s="4" t="s">
        <v>98</v>
      </c>
      <c r="C197" s="4" t="s">
        <v>22</v>
      </c>
      <c r="D197" s="4">
        <v>40</v>
      </c>
    </row>
    <row r="198" spans="1:4" ht="15.75" customHeight="1" x14ac:dyDescent="0.35">
      <c r="A198" s="3">
        <v>45694</v>
      </c>
      <c r="B198" s="4" t="s">
        <v>135</v>
      </c>
      <c r="C198" s="4" t="s">
        <v>62</v>
      </c>
      <c r="D198" s="4">
        <v>49</v>
      </c>
    </row>
    <row r="199" spans="1:4" ht="15.75" customHeight="1" x14ac:dyDescent="0.35">
      <c r="A199" s="3">
        <v>45734</v>
      </c>
      <c r="B199" s="4" t="s">
        <v>32</v>
      </c>
      <c r="C199" s="4" t="s">
        <v>22</v>
      </c>
      <c r="D199" s="4">
        <v>33</v>
      </c>
    </row>
    <row r="200" spans="1:4" ht="15.75" customHeight="1" x14ac:dyDescent="0.35">
      <c r="A200" s="3">
        <v>45727</v>
      </c>
      <c r="B200" s="4" t="s">
        <v>33</v>
      </c>
      <c r="C200" s="4" t="s">
        <v>28</v>
      </c>
      <c r="D200" s="4">
        <v>6</v>
      </c>
    </row>
    <row r="201" spans="1:4" ht="15.75" customHeight="1" x14ac:dyDescent="0.35">
      <c r="A201" s="3">
        <v>45667</v>
      </c>
      <c r="B201" s="4" t="s">
        <v>36</v>
      </c>
      <c r="C201" s="4" t="s">
        <v>22</v>
      </c>
      <c r="D201" s="4">
        <v>35</v>
      </c>
    </row>
    <row r="202" spans="1:4" ht="15.75" customHeight="1" x14ac:dyDescent="0.35">
      <c r="A202" s="3">
        <v>45708</v>
      </c>
      <c r="B202" s="4" t="s">
        <v>37</v>
      </c>
      <c r="C202" s="4" t="s">
        <v>8</v>
      </c>
      <c r="D202" s="4">
        <v>24</v>
      </c>
    </row>
    <row r="203" spans="1:4" ht="15.75" customHeight="1" x14ac:dyDescent="0.35">
      <c r="A203" s="3">
        <v>45744</v>
      </c>
      <c r="B203" s="4" t="s">
        <v>105</v>
      </c>
      <c r="C203" s="4" t="s">
        <v>79</v>
      </c>
      <c r="D203" s="4">
        <v>20</v>
      </c>
    </row>
    <row r="204" spans="1:4" ht="15.75" customHeight="1" x14ac:dyDescent="0.35">
      <c r="A204" s="3">
        <v>45744</v>
      </c>
      <c r="B204" s="4" t="s">
        <v>90</v>
      </c>
      <c r="C204" s="4" t="s">
        <v>39</v>
      </c>
      <c r="D204" s="4">
        <v>6</v>
      </c>
    </row>
    <row r="205" spans="1:4" ht="15.75" customHeight="1" x14ac:dyDescent="0.35">
      <c r="A205" s="3">
        <v>45699</v>
      </c>
      <c r="B205" s="4" t="s">
        <v>128</v>
      </c>
      <c r="C205" s="4" t="s">
        <v>82</v>
      </c>
      <c r="D205" s="4">
        <v>68</v>
      </c>
    </row>
    <row r="206" spans="1:4" ht="15.75" customHeight="1" x14ac:dyDescent="0.35">
      <c r="A206" s="3">
        <v>45745</v>
      </c>
      <c r="B206" s="4" t="s">
        <v>36</v>
      </c>
      <c r="C206" s="4" t="s">
        <v>22</v>
      </c>
      <c r="D206" s="4">
        <v>78</v>
      </c>
    </row>
    <row r="207" spans="1:4" ht="15.75" customHeight="1" x14ac:dyDescent="0.35">
      <c r="A207" s="3">
        <v>45733</v>
      </c>
      <c r="B207" s="4" t="s">
        <v>135</v>
      </c>
      <c r="C207" s="4" t="s">
        <v>62</v>
      </c>
      <c r="D207" s="4">
        <v>12</v>
      </c>
    </row>
    <row r="208" spans="1:4" ht="15.75" customHeight="1" x14ac:dyDescent="0.35">
      <c r="A208" s="3">
        <v>45724</v>
      </c>
      <c r="B208" s="4" t="s">
        <v>23</v>
      </c>
      <c r="C208" s="4" t="s">
        <v>24</v>
      </c>
      <c r="D208" s="4">
        <v>72</v>
      </c>
    </row>
    <row r="209" spans="1:4" ht="15.75" customHeight="1" x14ac:dyDescent="0.35">
      <c r="A209" s="3">
        <v>45663</v>
      </c>
      <c r="B209" s="4" t="s">
        <v>67</v>
      </c>
      <c r="C209" s="4" t="s">
        <v>39</v>
      </c>
      <c r="D209" s="4">
        <v>57</v>
      </c>
    </row>
    <row r="210" spans="1:4" ht="15.75" customHeight="1" x14ac:dyDescent="0.35">
      <c r="A210" s="3">
        <v>45701</v>
      </c>
      <c r="B210" s="4" t="s">
        <v>114</v>
      </c>
      <c r="C210" s="4" t="s">
        <v>75</v>
      </c>
      <c r="D210" s="4">
        <v>78</v>
      </c>
    </row>
    <row r="211" spans="1:4" ht="15.75" customHeight="1" x14ac:dyDescent="0.35">
      <c r="A211" s="3">
        <v>45736</v>
      </c>
      <c r="B211" s="4" t="s">
        <v>45</v>
      </c>
      <c r="C211" s="4" t="s">
        <v>24</v>
      </c>
      <c r="D211" s="4">
        <v>3</v>
      </c>
    </row>
    <row r="212" spans="1:4" ht="15.75" customHeight="1" x14ac:dyDescent="0.35">
      <c r="A212" s="3">
        <v>45734</v>
      </c>
      <c r="B212" s="4" t="s">
        <v>136</v>
      </c>
      <c r="C212" s="4" t="s">
        <v>79</v>
      </c>
      <c r="D212" s="4">
        <v>64</v>
      </c>
    </row>
    <row r="213" spans="1:4" ht="15.75" customHeight="1" x14ac:dyDescent="0.35">
      <c r="A213" s="3">
        <v>45697</v>
      </c>
      <c r="B213" s="4" t="s">
        <v>140</v>
      </c>
      <c r="C213" s="4" t="s">
        <v>85</v>
      </c>
      <c r="D213" s="4">
        <v>52</v>
      </c>
    </row>
    <row r="214" spans="1:4" ht="15.75" customHeight="1" x14ac:dyDescent="0.35">
      <c r="A214" s="3">
        <v>45695</v>
      </c>
      <c r="B214" s="4" t="s">
        <v>138</v>
      </c>
      <c r="C214" s="4" t="s">
        <v>85</v>
      </c>
      <c r="D214" s="4">
        <v>46</v>
      </c>
    </row>
    <row r="215" spans="1:4" ht="15.75" customHeight="1" x14ac:dyDescent="0.35">
      <c r="A215" s="3">
        <v>45728</v>
      </c>
      <c r="B215" s="4" t="s">
        <v>15</v>
      </c>
      <c r="C215" s="4" t="s">
        <v>16</v>
      </c>
      <c r="D215" s="4">
        <v>20</v>
      </c>
    </row>
    <row r="216" spans="1:4" ht="15.75" customHeight="1" x14ac:dyDescent="0.35">
      <c r="A216" s="3">
        <v>45673</v>
      </c>
      <c r="B216" s="4" t="s">
        <v>117</v>
      </c>
      <c r="C216" s="4" t="s">
        <v>28</v>
      </c>
      <c r="D216" s="4">
        <v>56</v>
      </c>
    </row>
    <row r="217" spans="1:4" ht="15.75" customHeight="1" x14ac:dyDescent="0.35">
      <c r="A217" s="3">
        <v>45705</v>
      </c>
      <c r="B217" s="4" t="s">
        <v>113</v>
      </c>
      <c r="C217" s="4" t="s">
        <v>85</v>
      </c>
      <c r="D217" s="4">
        <v>40</v>
      </c>
    </row>
    <row r="218" spans="1:4" ht="15.75" customHeight="1" x14ac:dyDescent="0.35">
      <c r="A218" s="3">
        <v>45664</v>
      </c>
      <c r="B218" s="4" t="s">
        <v>34</v>
      </c>
      <c r="C218" s="4" t="s">
        <v>28</v>
      </c>
      <c r="D218" s="4">
        <v>47</v>
      </c>
    </row>
    <row r="219" spans="1:4" ht="15.75" customHeight="1" x14ac:dyDescent="0.35">
      <c r="A219" s="3">
        <v>45727</v>
      </c>
      <c r="B219" s="4" t="s">
        <v>117</v>
      </c>
      <c r="C219" s="4" t="s">
        <v>28</v>
      </c>
      <c r="D219" s="4">
        <v>74</v>
      </c>
    </row>
    <row r="220" spans="1:4" ht="15.75" customHeight="1" x14ac:dyDescent="0.35">
      <c r="A220" s="3">
        <v>45726</v>
      </c>
      <c r="B220" s="4" t="s">
        <v>30</v>
      </c>
      <c r="C220" s="4" t="s">
        <v>31</v>
      </c>
      <c r="D220" s="4">
        <v>36</v>
      </c>
    </row>
    <row r="221" spans="1:4" ht="15.75" customHeight="1" x14ac:dyDescent="0.35">
      <c r="A221" s="3">
        <v>45711</v>
      </c>
      <c r="B221" s="4" t="s">
        <v>97</v>
      </c>
      <c r="C221" s="4" t="s">
        <v>52</v>
      </c>
      <c r="D221" s="4">
        <v>40</v>
      </c>
    </row>
    <row r="222" spans="1:4" ht="15.75" customHeight="1" x14ac:dyDescent="0.35">
      <c r="A222" s="3">
        <v>45701</v>
      </c>
      <c r="B222" s="4" t="s">
        <v>44</v>
      </c>
      <c r="C222" s="4" t="s">
        <v>20</v>
      </c>
      <c r="D222" s="4">
        <v>10</v>
      </c>
    </row>
    <row r="223" spans="1:4" ht="15.75" customHeight="1" x14ac:dyDescent="0.35">
      <c r="A223" s="3">
        <v>45723</v>
      </c>
      <c r="B223" s="4" t="s">
        <v>9</v>
      </c>
      <c r="C223" s="4" t="s">
        <v>8</v>
      </c>
      <c r="D223" s="4">
        <v>53</v>
      </c>
    </row>
    <row r="224" spans="1:4" ht="15.75" customHeight="1" x14ac:dyDescent="0.35">
      <c r="A224" s="3">
        <v>45735</v>
      </c>
      <c r="B224" s="4" t="s">
        <v>73</v>
      </c>
      <c r="C224" s="4" t="s">
        <v>13</v>
      </c>
      <c r="D224" s="4">
        <v>8</v>
      </c>
    </row>
    <row r="225" spans="1:4" ht="15.75" customHeight="1" x14ac:dyDescent="0.35">
      <c r="A225" s="3">
        <v>45732</v>
      </c>
      <c r="B225" s="4" t="s">
        <v>138</v>
      </c>
      <c r="C225" s="4" t="s">
        <v>85</v>
      </c>
      <c r="D225" s="4">
        <v>59</v>
      </c>
    </row>
    <row r="226" spans="1:4" ht="15.75" customHeight="1" x14ac:dyDescent="0.35">
      <c r="A226" s="3">
        <v>45695</v>
      </c>
      <c r="B226" s="4" t="s">
        <v>25</v>
      </c>
      <c r="C226" s="4" t="s">
        <v>26</v>
      </c>
      <c r="D226" s="4">
        <v>3</v>
      </c>
    </row>
    <row r="227" spans="1:4" ht="15.75" customHeight="1" x14ac:dyDescent="0.35">
      <c r="A227" s="3">
        <v>45672</v>
      </c>
      <c r="B227" s="4" t="s">
        <v>64</v>
      </c>
      <c r="C227" s="4" t="s">
        <v>41</v>
      </c>
      <c r="D227" s="4">
        <v>65</v>
      </c>
    </row>
    <row r="228" spans="1:4" ht="15.75" customHeight="1" x14ac:dyDescent="0.35">
      <c r="A228" s="3">
        <v>45677</v>
      </c>
      <c r="B228" s="4" t="s">
        <v>127</v>
      </c>
      <c r="C228" s="4" t="s">
        <v>22</v>
      </c>
      <c r="D228" s="4">
        <v>74</v>
      </c>
    </row>
    <row r="229" spans="1:4" ht="15.75" customHeight="1" x14ac:dyDescent="0.35">
      <c r="A229" s="3">
        <v>45707</v>
      </c>
      <c r="B229" s="4" t="s">
        <v>92</v>
      </c>
      <c r="C229" s="4" t="s">
        <v>82</v>
      </c>
      <c r="D229" s="4">
        <v>3</v>
      </c>
    </row>
    <row r="230" spans="1:4" ht="15.75" customHeight="1" x14ac:dyDescent="0.35">
      <c r="A230" s="3">
        <v>45676</v>
      </c>
      <c r="B230" s="4" t="s">
        <v>71</v>
      </c>
      <c r="C230" s="4" t="s">
        <v>20</v>
      </c>
      <c r="D230" s="4">
        <v>72</v>
      </c>
    </row>
    <row r="231" spans="1:4" ht="15.75" customHeight="1" x14ac:dyDescent="0.35">
      <c r="A231" s="3">
        <v>45693</v>
      </c>
      <c r="B231" s="4" t="s">
        <v>90</v>
      </c>
      <c r="C231" s="4" t="s">
        <v>39</v>
      </c>
      <c r="D231" s="4">
        <v>58</v>
      </c>
    </row>
    <row r="232" spans="1:4" ht="15.75" customHeight="1" x14ac:dyDescent="0.35">
      <c r="A232" s="3">
        <v>45687</v>
      </c>
      <c r="B232" s="4" t="s">
        <v>58</v>
      </c>
      <c r="C232" s="4" t="s">
        <v>24</v>
      </c>
      <c r="D232" s="4">
        <v>17</v>
      </c>
    </row>
    <row r="233" spans="1:4" ht="15.75" customHeight="1" x14ac:dyDescent="0.35">
      <c r="A233" s="3">
        <v>45735</v>
      </c>
      <c r="B233" s="4" t="s">
        <v>142</v>
      </c>
      <c r="C233" s="4" t="s">
        <v>5</v>
      </c>
      <c r="D233" s="4">
        <v>9</v>
      </c>
    </row>
    <row r="234" spans="1:4" ht="15.75" customHeight="1" x14ac:dyDescent="0.35">
      <c r="A234" s="3">
        <v>45691</v>
      </c>
      <c r="B234" s="4" t="s">
        <v>142</v>
      </c>
      <c r="C234" s="4" t="s">
        <v>5</v>
      </c>
      <c r="D234" s="4">
        <v>67</v>
      </c>
    </row>
    <row r="235" spans="1:4" ht="15.75" customHeight="1" x14ac:dyDescent="0.35">
      <c r="A235" s="3">
        <v>45677</v>
      </c>
      <c r="B235" s="4" t="s">
        <v>115</v>
      </c>
      <c r="C235" s="4" t="s">
        <v>50</v>
      </c>
      <c r="D235" s="4">
        <v>10</v>
      </c>
    </row>
    <row r="236" spans="1:4" ht="15.75" customHeight="1" x14ac:dyDescent="0.35">
      <c r="A236" s="3">
        <v>45673</v>
      </c>
      <c r="B236" s="4" t="s">
        <v>66</v>
      </c>
      <c r="C236" s="4" t="s">
        <v>52</v>
      </c>
      <c r="D236" s="4">
        <v>39</v>
      </c>
    </row>
    <row r="237" spans="1:4" ht="15.75" customHeight="1" x14ac:dyDescent="0.35">
      <c r="A237" s="3">
        <v>45732</v>
      </c>
      <c r="B237" s="4" t="s">
        <v>59</v>
      </c>
      <c r="C237" s="4" t="s">
        <v>16</v>
      </c>
      <c r="D237" s="4">
        <v>79</v>
      </c>
    </row>
    <row r="238" spans="1:4" ht="15.75" customHeight="1" x14ac:dyDescent="0.35">
      <c r="A238" s="3">
        <v>45663</v>
      </c>
      <c r="B238" s="4" t="s">
        <v>138</v>
      </c>
      <c r="C238" s="4" t="s">
        <v>85</v>
      </c>
      <c r="D238" s="4">
        <v>19</v>
      </c>
    </row>
    <row r="239" spans="1:4" ht="15.75" customHeight="1" x14ac:dyDescent="0.35">
      <c r="A239" s="3">
        <v>45664</v>
      </c>
      <c r="B239" s="4" t="s">
        <v>48</v>
      </c>
      <c r="C239" s="4" t="s">
        <v>22</v>
      </c>
      <c r="D239" s="4">
        <v>7</v>
      </c>
    </row>
    <row r="240" spans="1:4" ht="15.75" customHeight="1" x14ac:dyDescent="0.35">
      <c r="A240" s="3">
        <v>45705</v>
      </c>
      <c r="B240" s="4" t="s">
        <v>108</v>
      </c>
      <c r="C240" s="4" t="s">
        <v>109</v>
      </c>
      <c r="D240" s="4">
        <v>52</v>
      </c>
    </row>
    <row r="241" spans="1:4" ht="15.75" customHeight="1" x14ac:dyDescent="0.35">
      <c r="A241" s="3">
        <v>45692</v>
      </c>
      <c r="B241" s="4" t="s">
        <v>17</v>
      </c>
      <c r="C241" s="4" t="s">
        <v>16</v>
      </c>
      <c r="D241" s="4">
        <v>26</v>
      </c>
    </row>
    <row r="242" spans="1:4" ht="15.75" customHeight="1" x14ac:dyDescent="0.35">
      <c r="A242" s="3">
        <v>45701</v>
      </c>
      <c r="B242" s="4" t="s">
        <v>91</v>
      </c>
      <c r="C242" s="4" t="s">
        <v>26</v>
      </c>
      <c r="D242" s="4">
        <v>5</v>
      </c>
    </row>
    <row r="243" spans="1:4" ht="15.75" customHeight="1" x14ac:dyDescent="0.35">
      <c r="A243" s="3">
        <v>45673</v>
      </c>
      <c r="B243" s="4" t="s">
        <v>138</v>
      </c>
      <c r="C243" s="4" t="s">
        <v>85</v>
      </c>
      <c r="D243" s="4">
        <v>40</v>
      </c>
    </row>
    <row r="244" spans="1:4" ht="15.75" customHeight="1" x14ac:dyDescent="0.35">
      <c r="A244" s="3">
        <v>45728</v>
      </c>
      <c r="B244" s="4" t="s">
        <v>9</v>
      </c>
      <c r="C244" s="4" t="s">
        <v>8</v>
      </c>
      <c r="D244" s="4">
        <v>59</v>
      </c>
    </row>
    <row r="245" spans="1:4" ht="15.75" customHeight="1" x14ac:dyDescent="0.35">
      <c r="A245" s="3">
        <v>45708</v>
      </c>
      <c r="B245" s="4" t="s">
        <v>67</v>
      </c>
      <c r="C245" s="4" t="s">
        <v>39</v>
      </c>
      <c r="D245" s="4">
        <v>63</v>
      </c>
    </row>
    <row r="246" spans="1:4" ht="15.75" customHeight="1" x14ac:dyDescent="0.35">
      <c r="A246" s="3">
        <v>45698</v>
      </c>
      <c r="B246" s="4" t="s">
        <v>120</v>
      </c>
      <c r="C246" s="4" t="s">
        <v>26</v>
      </c>
      <c r="D246" s="4">
        <v>7</v>
      </c>
    </row>
    <row r="247" spans="1:4" ht="15.75" customHeight="1" x14ac:dyDescent="0.35">
      <c r="A247" s="3">
        <v>45716</v>
      </c>
      <c r="B247" s="4" t="s">
        <v>93</v>
      </c>
      <c r="C247" s="4" t="s">
        <v>82</v>
      </c>
      <c r="D247" s="4">
        <v>16</v>
      </c>
    </row>
    <row r="248" spans="1:4" ht="15.75" customHeight="1" x14ac:dyDescent="0.35">
      <c r="A248" s="3">
        <v>45713</v>
      </c>
      <c r="B248" s="4" t="s">
        <v>137</v>
      </c>
      <c r="C248" s="4" t="s">
        <v>20</v>
      </c>
      <c r="D248" s="4">
        <v>20</v>
      </c>
    </row>
    <row r="249" spans="1:4" ht="15.75" customHeight="1" x14ac:dyDescent="0.35">
      <c r="A249" s="3">
        <v>45737</v>
      </c>
      <c r="B249" s="4" t="s">
        <v>14</v>
      </c>
      <c r="C249" s="4" t="s">
        <v>8</v>
      </c>
      <c r="D249" s="4">
        <v>28</v>
      </c>
    </row>
    <row r="250" spans="1:4" ht="15.75" customHeight="1" x14ac:dyDescent="0.35">
      <c r="A250" s="3">
        <v>45725</v>
      </c>
      <c r="B250" s="4" t="s">
        <v>40</v>
      </c>
      <c r="C250" s="4" t="s">
        <v>41</v>
      </c>
      <c r="D250" s="4">
        <v>52</v>
      </c>
    </row>
    <row r="251" spans="1:4" ht="15.75" customHeight="1" x14ac:dyDescent="0.35">
      <c r="A251" s="3">
        <v>45703</v>
      </c>
      <c r="B251" s="4" t="s">
        <v>116</v>
      </c>
      <c r="C251" s="4" t="s">
        <v>82</v>
      </c>
      <c r="D251" s="4">
        <v>78</v>
      </c>
    </row>
    <row r="252" spans="1:4" ht="15.75" customHeight="1" x14ac:dyDescent="0.35">
      <c r="A252" s="3">
        <v>45726</v>
      </c>
      <c r="B252" s="4" t="s">
        <v>60</v>
      </c>
      <c r="C252" s="4" t="s">
        <v>24</v>
      </c>
      <c r="D252" s="4">
        <v>6</v>
      </c>
    </row>
    <row r="253" spans="1:4" ht="15.75" customHeight="1" x14ac:dyDescent="0.35">
      <c r="A253" s="3">
        <v>45726</v>
      </c>
      <c r="B253" s="4" t="s">
        <v>126</v>
      </c>
      <c r="C253" s="4" t="s">
        <v>26</v>
      </c>
      <c r="D253" s="4">
        <v>53</v>
      </c>
    </row>
    <row r="254" spans="1:4" ht="15.75" customHeight="1" x14ac:dyDescent="0.35">
      <c r="A254" s="3">
        <v>45667</v>
      </c>
      <c r="B254" s="4" t="s">
        <v>73</v>
      </c>
      <c r="C254" s="4" t="s">
        <v>13</v>
      </c>
      <c r="D254" s="4">
        <v>32</v>
      </c>
    </row>
    <row r="255" spans="1:4" ht="15.75" customHeight="1" x14ac:dyDescent="0.35">
      <c r="A255" s="3">
        <v>45695</v>
      </c>
      <c r="B255" s="4" t="s">
        <v>14</v>
      </c>
      <c r="C255" s="4" t="s">
        <v>8</v>
      </c>
      <c r="D255" s="4">
        <v>62</v>
      </c>
    </row>
    <row r="256" spans="1:4" ht="15.75" customHeight="1" x14ac:dyDescent="0.35">
      <c r="A256" s="3">
        <v>45730</v>
      </c>
      <c r="B256" s="4" t="s">
        <v>110</v>
      </c>
      <c r="C256" s="4" t="s">
        <v>8</v>
      </c>
      <c r="D256" s="4">
        <v>53</v>
      </c>
    </row>
    <row r="257" spans="1:4" ht="15.75" customHeight="1" x14ac:dyDescent="0.35">
      <c r="A257" s="3">
        <v>45741</v>
      </c>
      <c r="B257" s="4" t="s">
        <v>136</v>
      </c>
      <c r="C257" s="4" t="s">
        <v>79</v>
      </c>
      <c r="D257" s="4">
        <v>51</v>
      </c>
    </row>
    <row r="258" spans="1:4" ht="15.75" customHeight="1" x14ac:dyDescent="0.35">
      <c r="A258" s="3">
        <v>45682</v>
      </c>
      <c r="B258" s="4" t="s">
        <v>115</v>
      </c>
      <c r="C258" s="4" t="s">
        <v>50</v>
      </c>
      <c r="D258" s="4">
        <v>50</v>
      </c>
    </row>
    <row r="259" spans="1:4" ht="15.75" customHeight="1" x14ac:dyDescent="0.35">
      <c r="A259" s="3">
        <v>45670</v>
      </c>
      <c r="B259" s="4" t="s">
        <v>124</v>
      </c>
      <c r="C259" s="4" t="s">
        <v>26</v>
      </c>
      <c r="D259" s="4">
        <v>64</v>
      </c>
    </row>
    <row r="260" spans="1:4" ht="15.75" customHeight="1" x14ac:dyDescent="0.35">
      <c r="A260" s="3">
        <v>45686</v>
      </c>
      <c r="B260" s="4" t="s">
        <v>57</v>
      </c>
      <c r="C260" s="4" t="s">
        <v>8</v>
      </c>
      <c r="D260" s="4">
        <v>60</v>
      </c>
    </row>
    <row r="261" spans="1:4" ht="15.75" customHeight="1" x14ac:dyDescent="0.35">
      <c r="A261" s="3">
        <v>45720</v>
      </c>
      <c r="B261" s="4" t="s">
        <v>141</v>
      </c>
      <c r="C261" s="4" t="s">
        <v>24</v>
      </c>
      <c r="D261" s="4">
        <v>7</v>
      </c>
    </row>
    <row r="262" spans="1:4" ht="15.75" customHeight="1" x14ac:dyDescent="0.35">
      <c r="A262" s="3">
        <v>45692</v>
      </c>
      <c r="B262" s="4" t="s">
        <v>35</v>
      </c>
      <c r="C262" s="4" t="s">
        <v>8</v>
      </c>
      <c r="D262" s="4">
        <v>51</v>
      </c>
    </row>
    <row r="263" spans="1:4" ht="15.75" customHeight="1" x14ac:dyDescent="0.35">
      <c r="A263" s="3">
        <v>45718</v>
      </c>
      <c r="B263" s="4" t="s">
        <v>86</v>
      </c>
      <c r="C263" s="4" t="s">
        <v>26</v>
      </c>
      <c r="D263" s="4">
        <v>6</v>
      </c>
    </row>
    <row r="264" spans="1:4" ht="15.75" customHeight="1" x14ac:dyDescent="0.35">
      <c r="A264" s="3">
        <v>45743</v>
      </c>
      <c r="B264" s="4" t="s">
        <v>14</v>
      </c>
      <c r="C264" s="4" t="s">
        <v>8</v>
      </c>
      <c r="D264" s="4">
        <v>24</v>
      </c>
    </row>
    <row r="265" spans="1:4" ht="15.75" customHeight="1" x14ac:dyDescent="0.35">
      <c r="A265" s="3">
        <v>45686</v>
      </c>
      <c r="B265" s="4" t="s">
        <v>90</v>
      </c>
      <c r="C265" s="4" t="s">
        <v>39</v>
      </c>
      <c r="D265" s="4">
        <v>73</v>
      </c>
    </row>
    <row r="266" spans="1:4" ht="15.75" customHeight="1" x14ac:dyDescent="0.35">
      <c r="A266" s="3">
        <v>45701</v>
      </c>
      <c r="B266" s="4" t="s">
        <v>78</v>
      </c>
      <c r="C266" s="4" t="s">
        <v>79</v>
      </c>
      <c r="D266" s="4">
        <v>74</v>
      </c>
    </row>
    <row r="267" spans="1:4" ht="15.75" customHeight="1" x14ac:dyDescent="0.35">
      <c r="A267" s="3">
        <v>45668</v>
      </c>
      <c r="B267" s="4" t="s">
        <v>77</v>
      </c>
      <c r="C267" s="4" t="s">
        <v>50</v>
      </c>
      <c r="D267" s="4">
        <v>22</v>
      </c>
    </row>
    <row r="268" spans="1:4" ht="15.75" customHeight="1" x14ac:dyDescent="0.35">
      <c r="A268" s="3">
        <v>45739</v>
      </c>
      <c r="B268" s="4" t="s">
        <v>128</v>
      </c>
      <c r="C268" s="4" t="s">
        <v>82</v>
      </c>
      <c r="D268" s="4">
        <v>69</v>
      </c>
    </row>
    <row r="269" spans="1:4" ht="15.75" customHeight="1" x14ac:dyDescent="0.35">
      <c r="A269" s="3">
        <v>45670</v>
      </c>
      <c r="B269" s="4" t="s">
        <v>80</v>
      </c>
      <c r="C269" s="4" t="s">
        <v>22</v>
      </c>
      <c r="D269" s="4">
        <v>33</v>
      </c>
    </row>
    <row r="270" spans="1:4" ht="15.75" customHeight="1" x14ac:dyDescent="0.35">
      <c r="A270" s="3">
        <v>45689</v>
      </c>
      <c r="B270" s="4" t="s">
        <v>121</v>
      </c>
      <c r="C270" s="4" t="s">
        <v>50</v>
      </c>
      <c r="D270" s="4">
        <v>52</v>
      </c>
    </row>
    <row r="271" spans="1:4" ht="15.75" customHeight="1" x14ac:dyDescent="0.35">
      <c r="A271" s="3">
        <v>45734</v>
      </c>
      <c r="B271" s="4" t="s">
        <v>136</v>
      </c>
      <c r="C271" s="4" t="s">
        <v>79</v>
      </c>
      <c r="D271" s="4">
        <v>79</v>
      </c>
    </row>
    <row r="272" spans="1:4" ht="15.75" customHeight="1" x14ac:dyDescent="0.35">
      <c r="A272" s="3">
        <v>45657</v>
      </c>
      <c r="B272" s="4" t="s">
        <v>99</v>
      </c>
      <c r="C272" s="4" t="s">
        <v>16</v>
      </c>
      <c r="D272" s="4">
        <v>43</v>
      </c>
    </row>
    <row r="273" spans="1:4" ht="15.75" customHeight="1" x14ac:dyDescent="0.35">
      <c r="A273" s="3">
        <v>45735</v>
      </c>
      <c r="B273" s="4" t="s">
        <v>56</v>
      </c>
      <c r="C273" s="4" t="s">
        <v>5</v>
      </c>
      <c r="D273" s="4">
        <v>40</v>
      </c>
    </row>
    <row r="274" spans="1:4" ht="15.75" customHeight="1" x14ac:dyDescent="0.35">
      <c r="A274" s="3">
        <v>45717</v>
      </c>
      <c r="B274" s="4" t="s">
        <v>126</v>
      </c>
      <c r="C274" s="4" t="s">
        <v>26</v>
      </c>
      <c r="D274" s="4">
        <v>29</v>
      </c>
    </row>
    <row r="275" spans="1:4" ht="15.75" customHeight="1" x14ac:dyDescent="0.35">
      <c r="A275" s="3">
        <v>45669</v>
      </c>
      <c r="B275" s="4" t="s">
        <v>81</v>
      </c>
      <c r="C275" s="4" t="s">
        <v>82</v>
      </c>
      <c r="D275" s="4">
        <v>23</v>
      </c>
    </row>
    <row r="276" spans="1:4" ht="15.75" customHeight="1" x14ac:dyDescent="0.35">
      <c r="A276" s="3">
        <v>45658</v>
      </c>
      <c r="B276" s="4" t="s">
        <v>105</v>
      </c>
      <c r="C276" s="4" t="s">
        <v>79</v>
      </c>
      <c r="D276" s="4">
        <v>62</v>
      </c>
    </row>
    <row r="277" spans="1:4" ht="15.75" customHeight="1" x14ac:dyDescent="0.35">
      <c r="A277" s="3">
        <v>45691</v>
      </c>
      <c r="B277" s="4" t="s">
        <v>17</v>
      </c>
      <c r="C277" s="4" t="s">
        <v>16</v>
      </c>
      <c r="D277" s="4">
        <v>33</v>
      </c>
    </row>
    <row r="278" spans="1:4" ht="15.75" customHeight="1" x14ac:dyDescent="0.35">
      <c r="A278" s="3">
        <v>45727</v>
      </c>
      <c r="B278" s="4" t="s">
        <v>71</v>
      </c>
      <c r="C278" s="4" t="s">
        <v>20</v>
      </c>
      <c r="D278" s="4">
        <v>75</v>
      </c>
    </row>
    <row r="279" spans="1:4" ht="15.75" customHeight="1" x14ac:dyDescent="0.35">
      <c r="A279" s="3">
        <v>45708</v>
      </c>
      <c r="B279" s="4" t="s">
        <v>14</v>
      </c>
      <c r="C279" s="4" t="s">
        <v>8</v>
      </c>
      <c r="D279" s="4">
        <v>70</v>
      </c>
    </row>
    <row r="280" spans="1:4" ht="15.75" customHeight="1" x14ac:dyDescent="0.35">
      <c r="A280" s="3">
        <v>45687</v>
      </c>
      <c r="B280" s="4" t="s">
        <v>53</v>
      </c>
      <c r="C280" s="4" t="s">
        <v>50</v>
      </c>
      <c r="D280" s="4">
        <v>73</v>
      </c>
    </row>
    <row r="281" spans="1:4" ht="15.75" customHeight="1" x14ac:dyDescent="0.35">
      <c r="A281" s="3">
        <v>45677</v>
      </c>
      <c r="B281" s="4" t="s">
        <v>55</v>
      </c>
      <c r="C281" s="4" t="s">
        <v>24</v>
      </c>
      <c r="D281" s="4">
        <v>13</v>
      </c>
    </row>
    <row r="282" spans="1:4" ht="15.75" customHeight="1" x14ac:dyDescent="0.35">
      <c r="A282" s="3">
        <v>45681</v>
      </c>
      <c r="B282" s="4" t="s">
        <v>73</v>
      </c>
      <c r="C282" s="4" t="s">
        <v>13</v>
      </c>
      <c r="D282" s="4">
        <v>57</v>
      </c>
    </row>
    <row r="283" spans="1:4" ht="15.75" customHeight="1" x14ac:dyDescent="0.35">
      <c r="A283" s="3">
        <v>45659</v>
      </c>
      <c r="B283" s="4" t="s">
        <v>21</v>
      </c>
      <c r="C283" s="4" t="s">
        <v>22</v>
      </c>
      <c r="D283" s="4">
        <v>53</v>
      </c>
    </row>
    <row r="284" spans="1:4" ht="15.75" customHeight="1" x14ac:dyDescent="0.35">
      <c r="A284" s="3">
        <v>45712</v>
      </c>
      <c r="B284" s="4" t="s">
        <v>141</v>
      </c>
      <c r="C284" s="4" t="s">
        <v>24</v>
      </c>
      <c r="D284" s="4">
        <v>76</v>
      </c>
    </row>
    <row r="285" spans="1:4" ht="15.75" customHeight="1" x14ac:dyDescent="0.35">
      <c r="A285" s="3">
        <v>45665</v>
      </c>
      <c r="B285" s="4" t="s">
        <v>70</v>
      </c>
      <c r="C285" s="4" t="s">
        <v>52</v>
      </c>
      <c r="D285" s="4">
        <v>13</v>
      </c>
    </row>
    <row r="286" spans="1:4" ht="15.75" customHeight="1" x14ac:dyDescent="0.35">
      <c r="A286" s="3">
        <v>45698</v>
      </c>
      <c r="B286" s="4" t="s">
        <v>44</v>
      </c>
      <c r="C286" s="4" t="s">
        <v>20</v>
      </c>
      <c r="D286" s="4">
        <v>44</v>
      </c>
    </row>
    <row r="287" spans="1:4" ht="15.75" customHeight="1" x14ac:dyDescent="0.35">
      <c r="A287" s="3">
        <v>45713</v>
      </c>
      <c r="B287" s="4" t="s">
        <v>40</v>
      </c>
      <c r="C287" s="4" t="s">
        <v>41</v>
      </c>
      <c r="D287" s="4">
        <v>13</v>
      </c>
    </row>
    <row r="288" spans="1:4" ht="15.75" customHeight="1" x14ac:dyDescent="0.35">
      <c r="A288" s="3">
        <v>45741</v>
      </c>
      <c r="B288" s="4" t="s">
        <v>66</v>
      </c>
      <c r="C288" s="4" t="s">
        <v>52</v>
      </c>
      <c r="D288" s="4">
        <v>40</v>
      </c>
    </row>
    <row r="289" spans="1:4" ht="15.75" customHeight="1" x14ac:dyDescent="0.35">
      <c r="A289" s="3">
        <v>45693</v>
      </c>
      <c r="B289" s="4" t="s">
        <v>65</v>
      </c>
      <c r="C289" s="4" t="s">
        <v>5</v>
      </c>
      <c r="D289" s="4">
        <v>68</v>
      </c>
    </row>
    <row r="290" spans="1:4" ht="15.75" customHeight="1" x14ac:dyDescent="0.35">
      <c r="A290" s="3">
        <v>45718</v>
      </c>
      <c r="B290" s="4" t="s">
        <v>111</v>
      </c>
      <c r="C290" s="4" t="s">
        <v>109</v>
      </c>
      <c r="D290" s="4">
        <v>18</v>
      </c>
    </row>
    <row r="291" spans="1:4" ht="15.75" customHeight="1" x14ac:dyDescent="0.35">
      <c r="A291" s="3">
        <v>45733</v>
      </c>
      <c r="B291" s="4" t="s">
        <v>99</v>
      </c>
      <c r="C291" s="4" t="s">
        <v>16</v>
      </c>
      <c r="D291" s="4">
        <v>64</v>
      </c>
    </row>
    <row r="292" spans="1:4" ht="15.75" customHeight="1" x14ac:dyDescent="0.35">
      <c r="A292" s="3">
        <v>45681</v>
      </c>
      <c r="B292" s="4" t="s">
        <v>119</v>
      </c>
      <c r="C292" s="4" t="s">
        <v>16</v>
      </c>
      <c r="D292" s="4">
        <v>34</v>
      </c>
    </row>
    <row r="293" spans="1:4" ht="15.75" customHeight="1" x14ac:dyDescent="0.35">
      <c r="A293" s="3">
        <v>45738</v>
      </c>
      <c r="B293" s="4" t="s">
        <v>10</v>
      </c>
      <c r="C293" s="4" t="s">
        <v>8</v>
      </c>
      <c r="D293" s="4">
        <v>62</v>
      </c>
    </row>
    <row r="294" spans="1:4" ht="15.75" customHeight="1" x14ac:dyDescent="0.35">
      <c r="A294" s="3">
        <v>45745</v>
      </c>
      <c r="B294" s="4" t="s">
        <v>138</v>
      </c>
      <c r="C294" s="4" t="s">
        <v>85</v>
      </c>
      <c r="D294" s="4">
        <v>6</v>
      </c>
    </row>
    <row r="295" spans="1:4" ht="15.75" customHeight="1" x14ac:dyDescent="0.35">
      <c r="A295" s="3">
        <v>45697</v>
      </c>
      <c r="B295" s="4" t="s">
        <v>71</v>
      </c>
      <c r="C295" s="4" t="s">
        <v>20</v>
      </c>
      <c r="D295" s="4">
        <v>8</v>
      </c>
    </row>
    <row r="296" spans="1:4" ht="15.75" customHeight="1" x14ac:dyDescent="0.35">
      <c r="A296" s="3">
        <v>45673</v>
      </c>
      <c r="B296" s="4" t="s">
        <v>30</v>
      </c>
      <c r="C296" s="4" t="s">
        <v>31</v>
      </c>
      <c r="D296" s="4">
        <v>19</v>
      </c>
    </row>
    <row r="297" spans="1:4" ht="15.75" customHeight="1" x14ac:dyDescent="0.35">
      <c r="A297" s="3">
        <v>45744</v>
      </c>
      <c r="B297" s="4" t="s">
        <v>132</v>
      </c>
      <c r="C297" s="4" t="s">
        <v>26</v>
      </c>
      <c r="D297" s="4">
        <v>24</v>
      </c>
    </row>
    <row r="298" spans="1:4" ht="15.75" customHeight="1" x14ac:dyDescent="0.35">
      <c r="A298" s="3">
        <v>45715</v>
      </c>
      <c r="B298" s="4" t="s">
        <v>87</v>
      </c>
      <c r="C298" s="4" t="s">
        <v>39</v>
      </c>
      <c r="D298" s="4">
        <v>66</v>
      </c>
    </row>
    <row r="299" spans="1:4" ht="15.75" customHeight="1" x14ac:dyDescent="0.35">
      <c r="A299" s="3">
        <v>45735</v>
      </c>
      <c r="B299" s="4" t="s">
        <v>45</v>
      </c>
      <c r="C299" s="4" t="s">
        <v>24</v>
      </c>
      <c r="D299" s="4">
        <v>37</v>
      </c>
    </row>
    <row r="300" spans="1:4" ht="15.75" customHeight="1" x14ac:dyDescent="0.35">
      <c r="A300" s="3">
        <v>45721</v>
      </c>
      <c r="B300" s="4" t="s">
        <v>84</v>
      </c>
      <c r="C300" s="4" t="s">
        <v>85</v>
      </c>
      <c r="D300" s="4">
        <v>3</v>
      </c>
    </row>
    <row r="301" spans="1:4" ht="15.75" customHeight="1" x14ac:dyDescent="0.35">
      <c r="A301" s="3">
        <v>45712</v>
      </c>
      <c r="B301" s="4" t="s">
        <v>70</v>
      </c>
      <c r="C301" s="4" t="s">
        <v>52</v>
      </c>
      <c r="D301" s="4">
        <v>55</v>
      </c>
    </row>
    <row r="302" spans="1:4" ht="15.75" customHeight="1" x14ac:dyDescent="0.35">
      <c r="A302" s="3">
        <v>45732</v>
      </c>
      <c r="B302" s="4" t="s">
        <v>139</v>
      </c>
      <c r="C302" s="4" t="s">
        <v>109</v>
      </c>
      <c r="D302" s="4">
        <v>66</v>
      </c>
    </row>
    <row r="303" spans="1:4" ht="15.75" customHeight="1" x14ac:dyDescent="0.35">
      <c r="A303" s="3">
        <v>45710</v>
      </c>
      <c r="B303" s="4" t="s">
        <v>137</v>
      </c>
      <c r="C303" s="4" t="s">
        <v>20</v>
      </c>
      <c r="D303" s="4">
        <v>31</v>
      </c>
    </row>
    <row r="304" spans="1:4" ht="15.75" customHeight="1" x14ac:dyDescent="0.35">
      <c r="A304" s="3">
        <v>45658</v>
      </c>
      <c r="B304" s="4" t="s">
        <v>37</v>
      </c>
      <c r="C304" s="4" t="s">
        <v>8</v>
      </c>
      <c r="D304" s="4">
        <v>44</v>
      </c>
    </row>
    <row r="305" spans="1:4" ht="15.75" customHeight="1" x14ac:dyDescent="0.35">
      <c r="A305" s="3">
        <v>45703</v>
      </c>
      <c r="B305" s="4" t="s">
        <v>124</v>
      </c>
      <c r="C305" s="4" t="s">
        <v>26</v>
      </c>
      <c r="D305" s="4">
        <v>20</v>
      </c>
    </row>
    <row r="306" spans="1:4" ht="15.75" customHeight="1" x14ac:dyDescent="0.35">
      <c r="A306" s="3">
        <v>45679</v>
      </c>
      <c r="B306" s="4" t="s">
        <v>74</v>
      </c>
      <c r="C306" s="4" t="s">
        <v>75</v>
      </c>
      <c r="D306" s="4">
        <v>2</v>
      </c>
    </row>
    <row r="307" spans="1:4" ht="15.75" customHeight="1" x14ac:dyDescent="0.35">
      <c r="A307" s="3">
        <v>45708</v>
      </c>
      <c r="B307" s="4" t="s">
        <v>141</v>
      </c>
      <c r="C307" s="4" t="s">
        <v>24</v>
      </c>
      <c r="D307" s="4">
        <v>39</v>
      </c>
    </row>
    <row r="308" spans="1:4" ht="15.75" customHeight="1" x14ac:dyDescent="0.35">
      <c r="A308" s="3">
        <v>45746</v>
      </c>
      <c r="B308" s="4" t="s">
        <v>72</v>
      </c>
      <c r="C308" s="4" t="s">
        <v>13</v>
      </c>
      <c r="D308" s="4">
        <v>39</v>
      </c>
    </row>
    <row r="309" spans="1:4" ht="15.75" customHeight="1" x14ac:dyDescent="0.35">
      <c r="A309" s="3">
        <v>45684</v>
      </c>
      <c r="B309" s="4" t="s">
        <v>122</v>
      </c>
      <c r="C309" s="4" t="s">
        <v>26</v>
      </c>
      <c r="D309" s="4">
        <v>41</v>
      </c>
    </row>
    <row r="310" spans="1:4" ht="15.75" customHeight="1" x14ac:dyDescent="0.35">
      <c r="A310" s="3">
        <v>45695</v>
      </c>
      <c r="B310" s="4" t="s">
        <v>92</v>
      </c>
      <c r="C310" s="4" t="s">
        <v>82</v>
      </c>
      <c r="D310" s="4">
        <v>44</v>
      </c>
    </row>
    <row r="311" spans="1:4" ht="15.75" customHeight="1" x14ac:dyDescent="0.35">
      <c r="A311" s="3">
        <v>45743</v>
      </c>
      <c r="B311" s="4" t="s">
        <v>66</v>
      </c>
      <c r="C311" s="4" t="s">
        <v>52</v>
      </c>
      <c r="D311" s="4">
        <v>12</v>
      </c>
    </row>
    <row r="312" spans="1:4" ht="15.75" customHeight="1" x14ac:dyDescent="0.35">
      <c r="A312" s="3">
        <v>45684</v>
      </c>
      <c r="B312" s="4" t="s">
        <v>72</v>
      </c>
      <c r="C312" s="4" t="s">
        <v>13</v>
      </c>
      <c r="D312" s="4">
        <v>11</v>
      </c>
    </row>
    <row r="313" spans="1:4" ht="15.75" customHeight="1" x14ac:dyDescent="0.35">
      <c r="A313" s="3">
        <v>45733</v>
      </c>
      <c r="B313" s="4" t="s">
        <v>137</v>
      </c>
      <c r="C313" s="4" t="s">
        <v>20</v>
      </c>
      <c r="D313" s="4">
        <v>25</v>
      </c>
    </row>
    <row r="314" spans="1:4" ht="15.75" customHeight="1" x14ac:dyDescent="0.35">
      <c r="A314" s="3">
        <v>45727</v>
      </c>
      <c r="B314" s="4" t="s">
        <v>78</v>
      </c>
      <c r="C314" s="4" t="s">
        <v>79</v>
      </c>
      <c r="D314" s="4">
        <v>59</v>
      </c>
    </row>
    <row r="315" spans="1:4" ht="15.75" customHeight="1" x14ac:dyDescent="0.35">
      <c r="A315" s="3">
        <v>45677</v>
      </c>
      <c r="B315" s="4" t="s">
        <v>34</v>
      </c>
      <c r="C315" s="4" t="s">
        <v>28</v>
      </c>
      <c r="D315" s="4">
        <v>6</v>
      </c>
    </row>
    <row r="316" spans="1:4" ht="15.75" customHeight="1" x14ac:dyDescent="0.35">
      <c r="A316" s="3">
        <v>45662</v>
      </c>
      <c r="B316" s="4" t="s">
        <v>71</v>
      </c>
      <c r="C316" s="4" t="s">
        <v>20</v>
      </c>
      <c r="D316" s="4">
        <v>62</v>
      </c>
    </row>
    <row r="317" spans="1:4" ht="15.75" customHeight="1" x14ac:dyDescent="0.35">
      <c r="A317" s="3">
        <v>45740</v>
      </c>
      <c r="B317" s="4" t="s">
        <v>21</v>
      </c>
      <c r="C317" s="4" t="s">
        <v>22</v>
      </c>
      <c r="D317" s="4">
        <v>39</v>
      </c>
    </row>
    <row r="318" spans="1:4" ht="15.75" customHeight="1" x14ac:dyDescent="0.35">
      <c r="A318" s="3">
        <v>45738</v>
      </c>
      <c r="B318" s="4" t="s">
        <v>30</v>
      </c>
      <c r="C318" s="4" t="s">
        <v>31</v>
      </c>
      <c r="D318" s="4">
        <v>2</v>
      </c>
    </row>
    <row r="319" spans="1:4" ht="15.75" customHeight="1" x14ac:dyDescent="0.35">
      <c r="A319" s="3">
        <v>45721</v>
      </c>
      <c r="B319" s="4" t="s">
        <v>45</v>
      </c>
      <c r="C319" s="4" t="s">
        <v>24</v>
      </c>
      <c r="D319" s="4">
        <v>39</v>
      </c>
    </row>
    <row r="320" spans="1:4" ht="15.75" customHeight="1" x14ac:dyDescent="0.35">
      <c r="A320" s="3">
        <v>45662</v>
      </c>
      <c r="B320" s="4" t="s">
        <v>53</v>
      </c>
      <c r="C320" s="4" t="s">
        <v>50</v>
      </c>
      <c r="D320" s="4">
        <v>60</v>
      </c>
    </row>
    <row r="321" spans="1:4" ht="15.75" customHeight="1" x14ac:dyDescent="0.35">
      <c r="A321" s="3">
        <v>45696</v>
      </c>
      <c r="B321" s="4" t="s">
        <v>29</v>
      </c>
      <c r="C321" s="4" t="s">
        <v>16</v>
      </c>
      <c r="D321" s="4">
        <v>62</v>
      </c>
    </row>
    <row r="322" spans="1:4" ht="15.75" customHeight="1" x14ac:dyDescent="0.35">
      <c r="A322" s="3">
        <v>45741</v>
      </c>
      <c r="B322" s="4" t="s">
        <v>57</v>
      </c>
      <c r="C322" s="4" t="s">
        <v>8</v>
      </c>
      <c r="D322" s="4">
        <v>78</v>
      </c>
    </row>
    <row r="323" spans="1:4" ht="15.75" customHeight="1" x14ac:dyDescent="0.35">
      <c r="A323" s="3">
        <v>45669</v>
      </c>
      <c r="B323" s="4" t="s">
        <v>120</v>
      </c>
      <c r="C323" s="4" t="s">
        <v>26</v>
      </c>
      <c r="D323" s="4">
        <v>45</v>
      </c>
    </row>
    <row r="324" spans="1:4" ht="15.75" customHeight="1" x14ac:dyDescent="0.35">
      <c r="A324" s="3">
        <v>45746</v>
      </c>
      <c r="B324" s="4" t="s">
        <v>6</v>
      </c>
      <c r="C324" s="4" t="s">
        <v>5</v>
      </c>
      <c r="D324" s="4">
        <v>67</v>
      </c>
    </row>
    <row r="325" spans="1:4" ht="15.75" customHeight="1" x14ac:dyDescent="0.35">
      <c r="A325" s="3">
        <v>45692</v>
      </c>
      <c r="B325" s="4" t="s">
        <v>86</v>
      </c>
      <c r="C325" s="4" t="s">
        <v>26</v>
      </c>
      <c r="D325" s="4">
        <v>51</v>
      </c>
    </row>
    <row r="326" spans="1:4" ht="15.75" customHeight="1" x14ac:dyDescent="0.35">
      <c r="A326" s="3">
        <v>45667</v>
      </c>
      <c r="B326" s="4" t="s">
        <v>86</v>
      </c>
      <c r="C326" s="4" t="s">
        <v>26</v>
      </c>
      <c r="D326" s="4">
        <v>75</v>
      </c>
    </row>
    <row r="327" spans="1:4" ht="15.75" customHeight="1" x14ac:dyDescent="0.35">
      <c r="A327" s="3">
        <v>45667</v>
      </c>
      <c r="B327" s="4" t="s">
        <v>19</v>
      </c>
      <c r="C327" s="4" t="s">
        <v>20</v>
      </c>
      <c r="D327" s="4">
        <v>31</v>
      </c>
    </row>
    <row r="328" spans="1:4" ht="15.75" customHeight="1" x14ac:dyDescent="0.35">
      <c r="A328" s="3">
        <v>45664</v>
      </c>
      <c r="B328" s="4" t="s">
        <v>93</v>
      </c>
      <c r="C328" s="4" t="s">
        <v>82</v>
      </c>
      <c r="D328" s="4">
        <v>27</v>
      </c>
    </row>
    <row r="329" spans="1:4" ht="15.75" customHeight="1" x14ac:dyDescent="0.35">
      <c r="A329" s="3">
        <v>45732</v>
      </c>
      <c r="B329" s="4" t="s">
        <v>32</v>
      </c>
      <c r="C329" s="4" t="s">
        <v>22</v>
      </c>
      <c r="D329" s="4">
        <v>59</v>
      </c>
    </row>
    <row r="330" spans="1:4" ht="15.75" customHeight="1" x14ac:dyDescent="0.35">
      <c r="A330" s="3">
        <v>45680</v>
      </c>
      <c r="B330" s="4" t="s">
        <v>129</v>
      </c>
      <c r="C330" s="4" t="s">
        <v>41</v>
      </c>
      <c r="D330" s="4">
        <v>48</v>
      </c>
    </row>
    <row r="331" spans="1:4" ht="15.75" customHeight="1" x14ac:dyDescent="0.35">
      <c r="A331" s="3">
        <v>45738</v>
      </c>
      <c r="B331" s="4" t="s">
        <v>81</v>
      </c>
      <c r="C331" s="4" t="s">
        <v>82</v>
      </c>
      <c r="D331" s="4">
        <v>64</v>
      </c>
    </row>
    <row r="332" spans="1:4" ht="15.75" customHeight="1" x14ac:dyDescent="0.35">
      <c r="A332" s="3">
        <v>45746</v>
      </c>
      <c r="B332" s="4" t="s">
        <v>66</v>
      </c>
      <c r="C332" s="4" t="s">
        <v>52</v>
      </c>
      <c r="D332" s="4">
        <v>77</v>
      </c>
    </row>
    <row r="333" spans="1:4" ht="15.75" customHeight="1" x14ac:dyDescent="0.35">
      <c r="A333" s="3">
        <v>45683</v>
      </c>
      <c r="B333" s="4" t="s">
        <v>93</v>
      </c>
      <c r="C333" s="4" t="s">
        <v>82</v>
      </c>
      <c r="D333" s="4">
        <v>79</v>
      </c>
    </row>
    <row r="334" spans="1:4" ht="15.75" customHeight="1" x14ac:dyDescent="0.35">
      <c r="A334" s="3">
        <v>45706</v>
      </c>
      <c r="B334" s="4" t="s">
        <v>104</v>
      </c>
      <c r="C334" s="4" t="s">
        <v>5</v>
      </c>
      <c r="D334" s="4">
        <v>68</v>
      </c>
    </row>
    <row r="335" spans="1:4" ht="15.75" customHeight="1" x14ac:dyDescent="0.35">
      <c r="A335" s="3">
        <v>45694</v>
      </c>
      <c r="B335" s="4" t="s">
        <v>89</v>
      </c>
      <c r="C335" s="4" t="s">
        <v>79</v>
      </c>
      <c r="D335" s="4">
        <v>29</v>
      </c>
    </row>
    <row r="336" spans="1:4" ht="15.75" customHeight="1" x14ac:dyDescent="0.35">
      <c r="A336" s="3">
        <v>45738</v>
      </c>
      <c r="B336" s="4" t="s">
        <v>115</v>
      </c>
      <c r="C336" s="4" t="s">
        <v>50</v>
      </c>
      <c r="D336" s="4">
        <v>20</v>
      </c>
    </row>
    <row r="337" spans="1:4" ht="15.75" customHeight="1" x14ac:dyDescent="0.35">
      <c r="A337" s="3">
        <v>45709</v>
      </c>
      <c r="B337" s="4" t="s">
        <v>112</v>
      </c>
      <c r="C337" s="4" t="s">
        <v>31</v>
      </c>
      <c r="D337" s="4">
        <v>55</v>
      </c>
    </row>
    <row r="338" spans="1:4" ht="15.75" customHeight="1" x14ac:dyDescent="0.35">
      <c r="A338" s="3">
        <v>45725</v>
      </c>
      <c r="B338" s="4" t="s">
        <v>17</v>
      </c>
      <c r="C338" s="4" t="s">
        <v>16</v>
      </c>
      <c r="D338" s="4">
        <v>53</v>
      </c>
    </row>
    <row r="339" spans="1:4" ht="15.75" customHeight="1" x14ac:dyDescent="0.35">
      <c r="A339" s="3">
        <v>45734</v>
      </c>
      <c r="B339" s="4" t="s">
        <v>135</v>
      </c>
      <c r="C339" s="4" t="s">
        <v>62</v>
      </c>
      <c r="D339" s="4">
        <v>15</v>
      </c>
    </row>
    <row r="340" spans="1:4" ht="15.75" customHeight="1" x14ac:dyDescent="0.35">
      <c r="A340" s="3">
        <v>45667</v>
      </c>
      <c r="B340" s="4" t="s">
        <v>108</v>
      </c>
      <c r="C340" s="4" t="s">
        <v>109</v>
      </c>
      <c r="D340" s="4">
        <v>47</v>
      </c>
    </row>
    <row r="341" spans="1:4" ht="15.75" customHeight="1" x14ac:dyDescent="0.35">
      <c r="A341" s="3">
        <v>45661</v>
      </c>
      <c r="B341" s="4" t="s">
        <v>130</v>
      </c>
      <c r="C341" s="4" t="s">
        <v>52</v>
      </c>
      <c r="D341" s="4">
        <v>33</v>
      </c>
    </row>
    <row r="342" spans="1:4" ht="15.75" customHeight="1" x14ac:dyDescent="0.35">
      <c r="A342" s="3">
        <v>45667</v>
      </c>
      <c r="B342" s="4" t="s">
        <v>94</v>
      </c>
      <c r="C342" s="4" t="s">
        <v>52</v>
      </c>
      <c r="D342" s="4">
        <v>14</v>
      </c>
    </row>
    <row r="343" spans="1:4" ht="15.75" customHeight="1" x14ac:dyDescent="0.35">
      <c r="A343" s="3">
        <v>45721</v>
      </c>
      <c r="B343" s="4" t="s">
        <v>69</v>
      </c>
      <c r="C343" s="4" t="s">
        <v>24</v>
      </c>
      <c r="D343" s="4">
        <v>9</v>
      </c>
    </row>
    <row r="344" spans="1:4" ht="15.75" customHeight="1" x14ac:dyDescent="0.35">
      <c r="A344" s="3">
        <v>45688</v>
      </c>
      <c r="B344" s="4" t="s">
        <v>30</v>
      </c>
      <c r="C344" s="4" t="s">
        <v>31</v>
      </c>
      <c r="D344" s="4">
        <v>23</v>
      </c>
    </row>
    <row r="345" spans="1:4" ht="15.75" customHeight="1" x14ac:dyDescent="0.35">
      <c r="A345" s="3">
        <v>45720</v>
      </c>
      <c r="B345" s="4" t="s">
        <v>23</v>
      </c>
      <c r="C345" s="4" t="s">
        <v>24</v>
      </c>
      <c r="D345" s="4">
        <v>70</v>
      </c>
    </row>
    <row r="346" spans="1:4" ht="15.75" customHeight="1" x14ac:dyDescent="0.35">
      <c r="A346" s="3">
        <v>45704</v>
      </c>
      <c r="B346" s="4" t="s">
        <v>74</v>
      </c>
      <c r="C346" s="4" t="s">
        <v>75</v>
      </c>
      <c r="D346" s="4">
        <v>47</v>
      </c>
    </row>
    <row r="347" spans="1:4" ht="15.75" customHeight="1" x14ac:dyDescent="0.35">
      <c r="A347" s="3">
        <v>45744</v>
      </c>
      <c r="B347" s="4" t="s">
        <v>119</v>
      </c>
      <c r="C347" s="4" t="s">
        <v>16</v>
      </c>
      <c r="D347" s="4">
        <v>55</v>
      </c>
    </row>
    <row r="348" spans="1:4" ht="15.75" customHeight="1" x14ac:dyDescent="0.35">
      <c r="A348" s="3">
        <v>45727</v>
      </c>
      <c r="B348" s="4" t="s">
        <v>83</v>
      </c>
      <c r="C348" s="4" t="s">
        <v>5</v>
      </c>
      <c r="D348" s="4">
        <v>67</v>
      </c>
    </row>
    <row r="349" spans="1:4" ht="15.75" customHeight="1" x14ac:dyDescent="0.35">
      <c r="A349" s="3">
        <v>45661</v>
      </c>
      <c r="B349" s="4" t="s">
        <v>123</v>
      </c>
      <c r="C349" s="4" t="s">
        <v>79</v>
      </c>
      <c r="D349" s="4">
        <v>76</v>
      </c>
    </row>
    <row r="350" spans="1:4" ht="15.75" customHeight="1" x14ac:dyDescent="0.35">
      <c r="A350" s="3">
        <v>45706</v>
      </c>
      <c r="B350" s="4" t="s">
        <v>73</v>
      </c>
      <c r="C350" s="4" t="s">
        <v>13</v>
      </c>
      <c r="D350" s="4">
        <v>42</v>
      </c>
    </row>
    <row r="351" spans="1:4" ht="15.75" customHeight="1" x14ac:dyDescent="0.35">
      <c r="A351" s="3">
        <v>45667</v>
      </c>
      <c r="B351" s="4" t="s">
        <v>94</v>
      </c>
      <c r="C351" s="4" t="s">
        <v>52</v>
      </c>
      <c r="D351" s="4">
        <v>8</v>
      </c>
    </row>
    <row r="352" spans="1:4" ht="15.75" customHeight="1" x14ac:dyDescent="0.35">
      <c r="A352" s="3">
        <v>45699</v>
      </c>
      <c r="B352" s="4" t="s">
        <v>42</v>
      </c>
      <c r="C352" s="4" t="s">
        <v>24</v>
      </c>
      <c r="D352" s="4">
        <v>75</v>
      </c>
    </row>
    <row r="353" spans="1:4" ht="15.75" customHeight="1" x14ac:dyDescent="0.35">
      <c r="A353" s="3">
        <v>45731</v>
      </c>
      <c r="B353" s="4" t="s">
        <v>117</v>
      </c>
      <c r="C353" s="4" t="s">
        <v>28</v>
      </c>
      <c r="D353" s="4">
        <v>24</v>
      </c>
    </row>
    <row r="354" spans="1:4" ht="15.75" customHeight="1" x14ac:dyDescent="0.35">
      <c r="A354" s="3">
        <v>45744</v>
      </c>
      <c r="B354" s="4" t="s">
        <v>46</v>
      </c>
      <c r="C354" s="4" t="s">
        <v>20</v>
      </c>
      <c r="D354" s="4">
        <v>38</v>
      </c>
    </row>
    <row r="355" spans="1:4" ht="15.75" customHeight="1" x14ac:dyDescent="0.35">
      <c r="A355" s="3">
        <v>45690</v>
      </c>
      <c r="B355" s="4" t="s">
        <v>87</v>
      </c>
      <c r="C355" s="4" t="s">
        <v>39</v>
      </c>
      <c r="D355" s="4">
        <v>77</v>
      </c>
    </row>
    <row r="356" spans="1:4" ht="15.75" customHeight="1" x14ac:dyDescent="0.35">
      <c r="A356" s="3">
        <v>45708</v>
      </c>
      <c r="B356" s="4" t="s">
        <v>49</v>
      </c>
      <c r="C356" s="4" t="s">
        <v>50</v>
      </c>
      <c r="D356" s="4">
        <v>1</v>
      </c>
    </row>
    <row r="357" spans="1:4" ht="15.75" customHeight="1" x14ac:dyDescent="0.35">
      <c r="A357" s="3">
        <v>45737</v>
      </c>
      <c r="B357" s="4" t="s">
        <v>43</v>
      </c>
      <c r="C357" s="4" t="s">
        <v>16</v>
      </c>
      <c r="D357" s="4">
        <v>71</v>
      </c>
    </row>
    <row r="358" spans="1:4" ht="15.75" customHeight="1" x14ac:dyDescent="0.35">
      <c r="A358" s="3">
        <v>45734</v>
      </c>
      <c r="B358" s="4" t="s">
        <v>76</v>
      </c>
      <c r="C358" s="4" t="s">
        <v>22</v>
      </c>
      <c r="D358" s="4">
        <v>58</v>
      </c>
    </row>
    <row r="359" spans="1:4" ht="15.75" customHeight="1" x14ac:dyDescent="0.35">
      <c r="A359" s="3">
        <v>45726</v>
      </c>
      <c r="B359" s="4" t="s">
        <v>54</v>
      </c>
      <c r="C359" s="4" t="s">
        <v>22</v>
      </c>
      <c r="D359" s="4">
        <v>65</v>
      </c>
    </row>
    <row r="360" spans="1:4" ht="15.75" customHeight="1" x14ac:dyDescent="0.35">
      <c r="A360" s="3">
        <v>45694</v>
      </c>
      <c r="B360" s="4" t="s">
        <v>124</v>
      </c>
      <c r="C360" s="4" t="s">
        <v>26</v>
      </c>
      <c r="D360" s="4">
        <v>12</v>
      </c>
    </row>
    <row r="361" spans="1:4" ht="15.75" customHeight="1" x14ac:dyDescent="0.35">
      <c r="A361" s="3">
        <v>45725</v>
      </c>
      <c r="B361" s="4" t="s">
        <v>133</v>
      </c>
      <c r="C361" s="4" t="s">
        <v>24</v>
      </c>
      <c r="D361" s="4">
        <v>58</v>
      </c>
    </row>
    <row r="362" spans="1:4" ht="15.75" customHeight="1" x14ac:dyDescent="0.35">
      <c r="A362" s="3">
        <v>45670</v>
      </c>
      <c r="B362" s="4" t="s">
        <v>129</v>
      </c>
      <c r="C362" s="4" t="s">
        <v>41</v>
      </c>
      <c r="D362" s="4">
        <v>6</v>
      </c>
    </row>
    <row r="363" spans="1:4" ht="15.75" customHeight="1" x14ac:dyDescent="0.35">
      <c r="A363" s="3">
        <v>45664</v>
      </c>
      <c r="B363" s="4" t="s">
        <v>95</v>
      </c>
      <c r="C363" s="4" t="s">
        <v>39</v>
      </c>
      <c r="D363" s="4">
        <v>16</v>
      </c>
    </row>
    <row r="364" spans="1:4" ht="15.75" customHeight="1" x14ac:dyDescent="0.35">
      <c r="A364" s="3">
        <v>45685</v>
      </c>
      <c r="B364" s="4" t="s">
        <v>34</v>
      </c>
      <c r="C364" s="4" t="s">
        <v>28</v>
      </c>
      <c r="D364" s="4">
        <v>69</v>
      </c>
    </row>
    <row r="365" spans="1:4" ht="15.75" customHeight="1" x14ac:dyDescent="0.35">
      <c r="A365" s="3">
        <v>45728</v>
      </c>
      <c r="B365" s="4" t="s">
        <v>81</v>
      </c>
      <c r="C365" s="4" t="s">
        <v>82</v>
      </c>
      <c r="D365" s="4">
        <v>18</v>
      </c>
    </row>
    <row r="366" spans="1:4" ht="15.75" customHeight="1" x14ac:dyDescent="0.35">
      <c r="A366" s="3">
        <v>45689</v>
      </c>
      <c r="B366" s="4" t="s">
        <v>99</v>
      </c>
      <c r="C366" s="4" t="s">
        <v>16</v>
      </c>
      <c r="D366" s="4">
        <v>26</v>
      </c>
    </row>
    <row r="367" spans="1:4" ht="15.75" customHeight="1" x14ac:dyDescent="0.35">
      <c r="A367" s="3">
        <v>45673</v>
      </c>
      <c r="B367" s="4" t="s">
        <v>80</v>
      </c>
      <c r="C367" s="4" t="s">
        <v>22</v>
      </c>
      <c r="D367" s="4">
        <v>62</v>
      </c>
    </row>
    <row r="368" spans="1:4" ht="15.75" customHeight="1" x14ac:dyDescent="0.35">
      <c r="A368" s="3">
        <v>45715</v>
      </c>
      <c r="B368" s="4" t="s">
        <v>116</v>
      </c>
      <c r="C368" s="4" t="s">
        <v>82</v>
      </c>
      <c r="D368" s="4">
        <v>18</v>
      </c>
    </row>
    <row r="369" spans="1:4" ht="15.75" customHeight="1" x14ac:dyDescent="0.35">
      <c r="A369" s="3">
        <v>45667</v>
      </c>
      <c r="B369" s="4" t="s">
        <v>78</v>
      </c>
      <c r="C369" s="4" t="s">
        <v>79</v>
      </c>
      <c r="D369" s="4">
        <v>5</v>
      </c>
    </row>
    <row r="370" spans="1:4" ht="15.75" customHeight="1" x14ac:dyDescent="0.35">
      <c r="A370" s="3">
        <v>45684</v>
      </c>
      <c r="B370" s="4" t="s">
        <v>123</v>
      </c>
      <c r="C370" s="4" t="s">
        <v>79</v>
      </c>
      <c r="D370" s="4">
        <v>64</v>
      </c>
    </row>
    <row r="371" spans="1:4" ht="15.75" customHeight="1" x14ac:dyDescent="0.35">
      <c r="A371" s="3">
        <v>45737</v>
      </c>
      <c r="B371" s="4" t="s">
        <v>23</v>
      </c>
      <c r="C371" s="4" t="s">
        <v>24</v>
      </c>
      <c r="D371" s="4">
        <v>32</v>
      </c>
    </row>
    <row r="372" spans="1:4" ht="15.75" customHeight="1" x14ac:dyDescent="0.35">
      <c r="A372" s="3">
        <v>45681</v>
      </c>
      <c r="B372" s="4" t="s">
        <v>21</v>
      </c>
      <c r="C372" s="4" t="s">
        <v>22</v>
      </c>
      <c r="D372" s="4">
        <v>54</v>
      </c>
    </row>
    <row r="373" spans="1:4" ht="15.75" customHeight="1" x14ac:dyDescent="0.35">
      <c r="A373" s="3">
        <v>45702</v>
      </c>
      <c r="B373" s="4" t="s">
        <v>134</v>
      </c>
      <c r="C373" s="4" t="s">
        <v>85</v>
      </c>
      <c r="D373" s="4">
        <v>1</v>
      </c>
    </row>
    <row r="374" spans="1:4" ht="15.75" customHeight="1" x14ac:dyDescent="0.35">
      <c r="A374" s="3">
        <v>45686</v>
      </c>
      <c r="B374" s="4" t="s">
        <v>141</v>
      </c>
      <c r="C374" s="4" t="s">
        <v>24</v>
      </c>
      <c r="D374" s="4">
        <v>44</v>
      </c>
    </row>
    <row r="375" spans="1:4" ht="15.75" customHeight="1" x14ac:dyDescent="0.35">
      <c r="A375" s="3">
        <v>45696</v>
      </c>
      <c r="B375" s="4" t="s">
        <v>49</v>
      </c>
      <c r="C375" s="4" t="s">
        <v>50</v>
      </c>
      <c r="D375" s="4">
        <v>39</v>
      </c>
    </row>
    <row r="376" spans="1:4" ht="15.75" customHeight="1" x14ac:dyDescent="0.35">
      <c r="A376" s="3">
        <v>45682</v>
      </c>
      <c r="B376" s="4" t="s">
        <v>122</v>
      </c>
      <c r="C376" s="4" t="s">
        <v>26</v>
      </c>
      <c r="D376" s="4">
        <v>29</v>
      </c>
    </row>
    <row r="377" spans="1:4" ht="15.75" customHeight="1" x14ac:dyDescent="0.35">
      <c r="A377" s="3">
        <v>45719</v>
      </c>
      <c r="B377" s="4" t="s">
        <v>74</v>
      </c>
      <c r="C377" s="4" t="s">
        <v>75</v>
      </c>
      <c r="D377" s="4">
        <v>20</v>
      </c>
    </row>
    <row r="378" spans="1:4" ht="15.75" customHeight="1" x14ac:dyDescent="0.35">
      <c r="A378" s="3">
        <v>45687</v>
      </c>
      <c r="B378" s="4" t="s">
        <v>34</v>
      </c>
      <c r="C378" s="4" t="s">
        <v>28</v>
      </c>
      <c r="D378" s="4">
        <v>73</v>
      </c>
    </row>
    <row r="379" spans="1:4" ht="15.75" customHeight="1" x14ac:dyDescent="0.35">
      <c r="A379" s="3">
        <v>45676</v>
      </c>
      <c r="B379" s="4" t="s">
        <v>59</v>
      </c>
      <c r="C379" s="4" t="s">
        <v>16</v>
      </c>
      <c r="D379" s="4">
        <v>37</v>
      </c>
    </row>
    <row r="380" spans="1:4" ht="15.75" customHeight="1" x14ac:dyDescent="0.35">
      <c r="A380" s="3">
        <v>45721</v>
      </c>
      <c r="B380" s="4" t="s">
        <v>95</v>
      </c>
      <c r="C380" s="4" t="s">
        <v>39</v>
      </c>
      <c r="D380" s="4">
        <v>14</v>
      </c>
    </row>
    <row r="381" spans="1:4" ht="15.75" customHeight="1" x14ac:dyDescent="0.35">
      <c r="A381" s="3">
        <v>45691</v>
      </c>
      <c r="B381" s="4" t="s">
        <v>71</v>
      </c>
      <c r="C381" s="4" t="s">
        <v>20</v>
      </c>
      <c r="D381" s="4">
        <v>5</v>
      </c>
    </row>
    <row r="382" spans="1:4" ht="15.75" customHeight="1" x14ac:dyDescent="0.35">
      <c r="A382" s="3">
        <v>45664</v>
      </c>
      <c r="B382" s="4" t="s">
        <v>48</v>
      </c>
      <c r="C382" s="4" t="s">
        <v>22</v>
      </c>
      <c r="D382" s="4">
        <v>47</v>
      </c>
    </row>
    <row r="383" spans="1:4" ht="15.75" customHeight="1" x14ac:dyDescent="0.35">
      <c r="A383" s="3">
        <v>45685</v>
      </c>
      <c r="B383" s="4" t="s">
        <v>112</v>
      </c>
      <c r="C383" s="4" t="s">
        <v>31</v>
      </c>
      <c r="D383" s="4">
        <v>5</v>
      </c>
    </row>
    <row r="384" spans="1:4" ht="15.75" customHeight="1" x14ac:dyDescent="0.35">
      <c r="A384" s="3">
        <v>45729</v>
      </c>
      <c r="B384" s="4" t="s">
        <v>143</v>
      </c>
      <c r="C384" s="4" t="s">
        <v>16</v>
      </c>
      <c r="D384" s="4">
        <v>32</v>
      </c>
    </row>
    <row r="385" spans="1:4" ht="15.75" customHeight="1" x14ac:dyDescent="0.35">
      <c r="A385" s="3">
        <v>45668</v>
      </c>
      <c r="B385" s="4" t="s">
        <v>120</v>
      </c>
      <c r="C385" s="4" t="s">
        <v>26</v>
      </c>
      <c r="D385" s="4">
        <v>26</v>
      </c>
    </row>
    <row r="386" spans="1:4" ht="15.75" customHeight="1" x14ac:dyDescent="0.35">
      <c r="A386" s="3">
        <v>45658</v>
      </c>
      <c r="B386" s="4" t="s">
        <v>129</v>
      </c>
      <c r="C386" s="4" t="s">
        <v>41</v>
      </c>
      <c r="D386" s="4">
        <v>14</v>
      </c>
    </row>
    <row r="387" spans="1:4" ht="15.75" customHeight="1" x14ac:dyDescent="0.35">
      <c r="A387" s="3">
        <v>45679</v>
      </c>
      <c r="B387" s="4" t="s">
        <v>121</v>
      </c>
      <c r="C387" s="4" t="s">
        <v>50</v>
      </c>
      <c r="D387" s="4">
        <v>53</v>
      </c>
    </row>
    <row r="388" spans="1:4" ht="15.75" customHeight="1" x14ac:dyDescent="0.35">
      <c r="A388" s="3">
        <v>45657</v>
      </c>
      <c r="B388" s="4" t="s">
        <v>72</v>
      </c>
      <c r="C388" s="4" t="s">
        <v>13</v>
      </c>
      <c r="D388" s="4">
        <v>69</v>
      </c>
    </row>
    <row r="389" spans="1:4" ht="15.75" customHeight="1" x14ac:dyDescent="0.35">
      <c r="A389" s="3">
        <v>45688</v>
      </c>
      <c r="B389" s="4" t="s">
        <v>19</v>
      </c>
      <c r="C389" s="4" t="s">
        <v>20</v>
      </c>
      <c r="D389" s="4">
        <v>31</v>
      </c>
    </row>
    <row r="390" spans="1:4" ht="15.75" customHeight="1" x14ac:dyDescent="0.35">
      <c r="A390" s="3">
        <v>45665</v>
      </c>
      <c r="B390" s="4" t="s">
        <v>124</v>
      </c>
      <c r="C390" s="4" t="s">
        <v>26</v>
      </c>
      <c r="D390" s="4">
        <v>38</v>
      </c>
    </row>
    <row r="391" spans="1:4" ht="15.75" customHeight="1" x14ac:dyDescent="0.35">
      <c r="A391" s="3">
        <v>45727</v>
      </c>
      <c r="B391" s="4" t="s">
        <v>103</v>
      </c>
      <c r="C391" s="4" t="s">
        <v>26</v>
      </c>
      <c r="D391" s="4">
        <v>69</v>
      </c>
    </row>
    <row r="392" spans="1:4" ht="15.75" customHeight="1" x14ac:dyDescent="0.35">
      <c r="A392" s="3">
        <v>45684</v>
      </c>
      <c r="B392" s="4" t="s">
        <v>123</v>
      </c>
      <c r="C392" s="4" t="s">
        <v>79</v>
      </c>
      <c r="D392" s="4">
        <v>47</v>
      </c>
    </row>
    <row r="393" spans="1:4" ht="15.75" customHeight="1" x14ac:dyDescent="0.35">
      <c r="A393" s="3">
        <v>45657</v>
      </c>
      <c r="B393" s="4" t="s">
        <v>17</v>
      </c>
      <c r="C393" s="4" t="s">
        <v>16</v>
      </c>
      <c r="D393" s="4">
        <v>33</v>
      </c>
    </row>
    <row r="394" spans="1:4" ht="15.75" customHeight="1" x14ac:dyDescent="0.35">
      <c r="A394" s="3">
        <v>45673</v>
      </c>
      <c r="B394" s="4" t="s">
        <v>55</v>
      </c>
      <c r="C394" s="4" t="s">
        <v>24</v>
      </c>
      <c r="D394" s="4">
        <v>80</v>
      </c>
    </row>
    <row r="395" spans="1:4" ht="15.75" customHeight="1" x14ac:dyDescent="0.35">
      <c r="A395" s="3">
        <v>45699</v>
      </c>
      <c r="B395" s="4" t="s">
        <v>136</v>
      </c>
      <c r="C395" s="4" t="s">
        <v>79</v>
      </c>
      <c r="D395" s="4">
        <v>43</v>
      </c>
    </row>
    <row r="396" spans="1:4" ht="15.75" customHeight="1" x14ac:dyDescent="0.35">
      <c r="A396" s="3">
        <v>45696</v>
      </c>
      <c r="B396" s="4" t="s">
        <v>68</v>
      </c>
      <c r="C396" s="4" t="s">
        <v>62</v>
      </c>
      <c r="D396" s="4">
        <v>24</v>
      </c>
    </row>
    <row r="397" spans="1:4" ht="15.75" customHeight="1" x14ac:dyDescent="0.35">
      <c r="A397" s="3">
        <v>45726</v>
      </c>
      <c r="B397" s="4" t="s">
        <v>7</v>
      </c>
      <c r="C397" s="4" t="s">
        <v>8</v>
      </c>
      <c r="D397" s="4">
        <v>20</v>
      </c>
    </row>
    <row r="398" spans="1:4" ht="15.75" customHeight="1" x14ac:dyDescent="0.35">
      <c r="A398" s="3">
        <v>45670</v>
      </c>
      <c r="B398" s="4" t="s">
        <v>71</v>
      </c>
      <c r="C398" s="4" t="s">
        <v>20</v>
      </c>
      <c r="D398" s="4">
        <v>19</v>
      </c>
    </row>
    <row r="399" spans="1:4" ht="15.75" customHeight="1" x14ac:dyDescent="0.35">
      <c r="A399" s="3">
        <v>45677</v>
      </c>
      <c r="B399" s="4" t="s">
        <v>140</v>
      </c>
      <c r="C399" s="4" t="s">
        <v>85</v>
      </c>
      <c r="D399" s="4">
        <v>9</v>
      </c>
    </row>
    <row r="400" spans="1:4" ht="15.75" customHeight="1" x14ac:dyDescent="0.35">
      <c r="A400" s="3">
        <v>45742</v>
      </c>
      <c r="B400" s="4" t="s">
        <v>131</v>
      </c>
      <c r="C400" s="4" t="s">
        <v>26</v>
      </c>
      <c r="D400" s="4">
        <v>23</v>
      </c>
    </row>
    <row r="401" spans="1:4" ht="15.75" customHeight="1" x14ac:dyDescent="0.35">
      <c r="A401" s="3">
        <v>45738</v>
      </c>
      <c r="B401" s="4" t="s">
        <v>72</v>
      </c>
      <c r="C401" s="4" t="s">
        <v>13</v>
      </c>
      <c r="D401" s="4">
        <v>73</v>
      </c>
    </row>
    <row r="402" spans="1:4" ht="15.75" customHeight="1" x14ac:dyDescent="0.35">
      <c r="A402" s="3">
        <v>45669</v>
      </c>
      <c r="B402" s="4" t="s">
        <v>74</v>
      </c>
      <c r="C402" s="4" t="s">
        <v>75</v>
      </c>
      <c r="D402" s="4">
        <v>55</v>
      </c>
    </row>
    <row r="403" spans="1:4" ht="15.75" customHeight="1" x14ac:dyDescent="0.35">
      <c r="A403" s="3">
        <v>45738</v>
      </c>
      <c r="B403" s="4" t="s">
        <v>81</v>
      </c>
      <c r="C403" s="4" t="s">
        <v>82</v>
      </c>
      <c r="D403" s="4">
        <v>6</v>
      </c>
    </row>
    <row r="404" spans="1:4" ht="15.75" customHeight="1" x14ac:dyDescent="0.35">
      <c r="A404" s="3">
        <v>45686</v>
      </c>
      <c r="B404" s="4" t="s">
        <v>108</v>
      </c>
      <c r="C404" s="4" t="s">
        <v>109</v>
      </c>
      <c r="D404" s="4">
        <v>13</v>
      </c>
    </row>
    <row r="405" spans="1:4" ht="15.75" customHeight="1" x14ac:dyDescent="0.35">
      <c r="A405" s="3">
        <v>45719</v>
      </c>
      <c r="B405" s="4" t="s">
        <v>11</v>
      </c>
      <c r="C405" s="4" t="s">
        <v>5</v>
      </c>
      <c r="D405" s="4">
        <v>43</v>
      </c>
    </row>
    <row r="406" spans="1:4" ht="15.75" customHeight="1" x14ac:dyDescent="0.35">
      <c r="A406" s="3">
        <v>45746</v>
      </c>
      <c r="B406" s="4" t="s">
        <v>40</v>
      </c>
      <c r="C406" s="4" t="s">
        <v>41</v>
      </c>
      <c r="D406" s="4">
        <v>63</v>
      </c>
    </row>
    <row r="407" spans="1:4" ht="15.75" customHeight="1" x14ac:dyDescent="0.35">
      <c r="A407" s="3">
        <v>45658</v>
      </c>
      <c r="B407" s="4" t="s">
        <v>83</v>
      </c>
      <c r="C407" s="4" t="s">
        <v>5</v>
      </c>
      <c r="D407" s="4">
        <v>12</v>
      </c>
    </row>
    <row r="408" spans="1:4" ht="15.75" customHeight="1" x14ac:dyDescent="0.35">
      <c r="A408" s="3">
        <v>45673</v>
      </c>
      <c r="B408" s="4" t="s">
        <v>91</v>
      </c>
      <c r="C408" s="4" t="s">
        <v>26</v>
      </c>
      <c r="D408" s="4">
        <v>60</v>
      </c>
    </row>
    <row r="409" spans="1:4" ht="15.75" customHeight="1" x14ac:dyDescent="0.35">
      <c r="A409" s="3">
        <v>45704</v>
      </c>
      <c r="B409" s="4" t="s">
        <v>96</v>
      </c>
      <c r="C409" s="4" t="s">
        <v>50</v>
      </c>
      <c r="D409" s="4">
        <v>20</v>
      </c>
    </row>
    <row r="410" spans="1:4" ht="15.75" customHeight="1" x14ac:dyDescent="0.35">
      <c r="A410" s="3">
        <v>45685</v>
      </c>
      <c r="B410" s="4" t="s">
        <v>70</v>
      </c>
      <c r="C410" s="4" t="s">
        <v>52</v>
      </c>
      <c r="D410" s="4">
        <v>44</v>
      </c>
    </row>
    <row r="411" spans="1:4" ht="15.75" customHeight="1" x14ac:dyDescent="0.35">
      <c r="A411" s="3">
        <v>45693</v>
      </c>
      <c r="B411" s="4" t="s">
        <v>34</v>
      </c>
      <c r="C411" s="4" t="s">
        <v>28</v>
      </c>
      <c r="D411" s="4">
        <v>46</v>
      </c>
    </row>
    <row r="412" spans="1:4" ht="15.75" customHeight="1" x14ac:dyDescent="0.35">
      <c r="A412" s="3">
        <v>45677</v>
      </c>
      <c r="B412" s="4" t="s">
        <v>71</v>
      </c>
      <c r="C412" s="4" t="s">
        <v>20</v>
      </c>
      <c r="D412" s="4">
        <v>26</v>
      </c>
    </row>
    <row r="413" spans="1:4" ht="15.75" customHeight="1" x14ac:dyDescent="0.35">
      <c r="A413" s="3">
        <v>45725</v>
      </c>
      <c r="B413" s="4" t="s">
        <v>32</v>
      </c>
      <c r="C413" s="4" t="s">
        <v>22</v>
      </c>
      <c r="D413" s="4">
        <v>39</v>
      </c>
    </row>
    <row r="414" spans="1:4" ht="15.75" customHeight="1" x14ac:dyDescent="0.35">
      <c r="A414" s="3">
        <v>45690</v>
      </c>
      <c r="B414" s="4" t="s">
        <v>102</v>
      </c>
      <c r="C414" s="4" t="s">
        <v>41</v>
      </c>
      <c r="D414" s="4">
        <v>66</v>
      </c>
    </row>
    <row r="415" spans="1:4" ht="15.75" customHeight="1" x14ac:dyDescent="0.35">
      <c r="A415" s="3">
        <v>45726</v>
      </c>
      <c r="B415" s="4" t="s">
        <v>132</v>
      </c>
      <c r="C415" s="4" t="s">
        <v>26</v>
      </c>
      <c r="D415" s="4">
        <v>48</v>
      </c>
    </row>
    <row r="416" spans="1:4" ht="15.75" customHeight="1" x14ac:dyDescent="0.35">
      <c r="A416" s="3">
        <v>45676</v>
      </c>
      <c r="B416" s="4" t="s">
        <v>110</v>
      </c>
      <c r="C416" s="4" t="s">
        <v>8</v>
      </c>
      <c r="D416" s="4">
        <v>52</v>
      </c>
    </row>
    <row r="417" spans="1:4" ht="15.75" customHeight="1" x14ac:dyDescent="0.35">
      <c r="A417" s="3">
        <v>45726</v>
      </c>
      <c r="B417" s="4" t="s">
        <v>128</v>
      </c>
      <c r="C417" s="4" t="s">
        <v>82</v>
      </c>
      <c r="D417" s="4">
        <v>55</v>
      </c>
    </row>
    <row r="418" spans="1:4" ht="15.75" customHeight="1" x14ac:dyDescent="0.35">
      <c r="A418" s="3">
        <v>45700</v>
      </c>
      <c r="B418" s="4" t="s">
        <v>95</v>
      </c>
      <c r="C418" s="4" t="s">
        <v>39</v>
      </c>
      <c r="D418" s="4">
        <v>14</v>
      </c>
    </row>
    <row r="419" spans="1:4" ht="15.75" customHeight="1" x14ac:dyDescent="0.35">
      <c r="A419" s="3">
        <v>45695</v>
      </c>
      <c r="B419" s="4" t="s">
        <v>63</v>
      </c>
      <c r="C419" s="4" t="s">
        <v>26</v>
      </c>
      <c r="D419" s="4">
        <v>8</v>
      </c>
    </row>
    <row r="420" spans="1:4" ht="15.75" customHeight="1" x14ac:dyDescent="0.35">
      <c r="A420" s="3">
        <v>45697</v>
      </c>
      <c r="B420" s="4" t="s">
        <v>36</v>
      </c>
      <c r="C420" s="4" t="s">
        <v>22</v>
      </c>
      <c r="D420" s="4">
        <v>4</v>
      </c>
    </row>
    <row r="421" spans="1:4" ht="15.75" customHeight="1" x14ac:dyDescent="0.35">
      <c r="A421" s="3">
        <v>45728</v>
      </c>
      <c r="B421" s="4" t="s">
        <v>92</v>
      </c>
      <c r="C421" s="4" t="s">
        <v>82</v>
      </c>
      <c r="D421" s="4">
        <v>45</v>
      </c>
    </row>
    <row r="422" spans="1:4" ht="15.75" customHeight="1" x14ac:dyDescent="0.35">
      <c r="A422" s="3">
        <v>45722</v>
      </c>
      <c r="B422" s="4" t="s">
        <v>7</v>
      </c>
      <c r="C422" s="4" t="s">
        <v>8</v>
      </c>
      <c r="D422" s="4">
        <v>34</v>
      </c>
    </row>
    <row r="423" spans="1:4" ht="15.75" customHeight="1" x14ac:dyDescent="0.35">
      <c r="A423" s="3">
        <v>45726</v>
      </c>
      <c r="B423" s="4" t="s">
        <v>60</v>
      </c>
      <c r="C423" s="4" t="s">
        <v>24</v>
      </c>
      <c r="D423" s="4">
        <v>17</v>
      </c>
    </row>
    <row r="424" spans="1:4" ht="15.75" customHeight="1" x14ac:dyDescent="0.35">
      <c r="A424" s="3">
        <v>45722</v>
      </c>
      <c r="B424" s="4" t="s">
        <v>64</v>
      </c>
      <c r="C424" s="4" t="s">
        <v>41</v>
      </c>
      <c r="D424" s="4">
        <v>19</v>
      </c>
    </row>
    <row r="425" spans="1:4" ht="15.75" customHeight="1" x14ac:dyDescent="0.35">
      <c r="A425" s="3">
        <v>45692</v>
      </c>
      <c r="B425" s="4" t="s">
        <v>123</v>
      </c>
      <c r="C425" s="4" t="s">
        <v>79</v>
      </c>
      <c r="D425" s="4">
        <v>26</v>
      </c>
    </row>
    <row r="426" spans="1:4" ht="15.75" customHeight="1" x14ac:dyDescent="0.35">
      <c r="A426" s="3">
        <v>45738</v>
      </c>
      <c r="B426" s="4" t="s">
        <v>60</v>
      </c>
      <c r="C426" s="4" t="s">
        <v>24</v>
      </c>
      <c r="D426" s="4">
        <v>66</v>
      </c>
    </row>
    <row r="427" spans="1:4" ht="15.75" customHeight="1" x14ac:dyDescent="0.35">
      <c r="A427" s="3">
        <v>45662</v>
      </c>
      <c r="B427" s="4" t="s">
        <v>103</v>
      </c>
      <c r="C427" s="4" t="s">
        <v>26</v>
      </c>
      <c r="D427" s="4">
        <v>40</v>
      </c>
    </row>
    <row r="428" spans="1:4" ht="15.75" customHeight="1" x14ac:dyDescent="0.35">
      <c r="A428" s="3">
        <v>45692</v>
      </c>
      <c r="B428" s="4" t="s">
        <v>78</v>
      </c>
      <c r="C428" s="4" t="s">
        <v>79</v>
      </c>
      <c r="D428" s="4">
        <v>21</v>
      </c>
    </row>
    <row r="429" spans="1:4" ht="15.75" customHeight="1" x14ac:dyDescent="0.35">
      <c r="A429" s="3">
        <v>45687</v>
      </c>
      <c r="B429" s="4" t="s">
        <v>65</v>
      </c>
      <c r="C429" s="4" t="s">
        <v>5</v>
      </c>
      <c r="D429" s="4">
        <v>30</v>
      </c>
    </row>
    <row r="430" spans="1:4" ht="15.75" customHeight="1" x14ac:dyDescent="0.35">
      <c r="A430" s="3">
        <v>45711</v>
      </c>
      <c r="B430" s="4" t="s">
        <v>74</v>
      </c>
      <c r="C430" s="4" t="s">
        <v>75</v>
      </c>
      <c r="D430" s="4">
        <v>29</v>
      </c>
    </row>
    <row r="431" spans="1:4" ht="15.75" customHeight="1" x14ac:dyDescent="0.35">
      <c r="A431" s="3">
        <v>45694</v>
      </c>
      <c r="B431" s="4" t="s">
        <v>95</v>
      </c>
      <c r="C431" s="4" t="s">
        <v>39</v>
      </c>
      <c r="D431" s="4">
        <v>20</v>
      </c>
    </row>
    <row r="432" spans="1:4" ht="15.75" customHeight="1" x14ac:dyDescent="0.35">
      <c r="A432" s="3">
        <v>45741</v>
      </c>
      <c r="B432" s="4" t="s">
        <v>135</v>
      </c>
      <c r="C432" s="4" t="s">
        <v>62</v>
      </c>
      <c r="D432" s="4">
        <v>27</v>
      </c>
    </row>
    <row r="433" spans="1:4" ht="15.75" customHeight="1" x14ac:dyDescent="0.35">
      <c r="A433" s="3">
        <v>45693</v>
      </c>
      <c r="B433" s="4" t="s">
        <v>135</v>
      </c>
      <c r="C433" s="4" t="s">
        <v>62</v>
      </c>
      <c r="D433" s="4">
        <v>8</v>
      </c>
    </row>
    <row r="434" spans="1:4" ht="15.75" customHeight="1" x14ac:dyDescent="0.35">
      <c r="A434" s="3">
        <v>45737</v>
      </c>
      <c r="B434" s="4" t="s">
        <v>54</v>
      </c>
      <c r="C434" s="4" t="s">
        <v>22</v>
      </c>
      <c r="D434" s="4">
        <v>42</v>
      </c>
    </row>
    <row r="435" spans="1:4" ht="15.75" customHeight="1" x14ac:dyDescent="0.35">
      <c r="A435" s="3">
        <v>45723</v>
      </c>
      <c r="B435" s="4" t="s">
        <v>119</v>
      </c>
      <c r="C435" s="4" t="s">
        <v>16</v>
      </c>
      <c r="D435" s="4">
        <v>28</v>
      </c>
    </row>
    <row r="436" spans="1:4" ht="15.75" customHeight="1" x14ac:dyDescent="0.35">
      <c r="A436" s="3">
        <v>45739</v>
      </c>
      <c r="B436" s="4" t="s">
        <v>53</v>
      </c>
      <c r="C436" s="4" t="s">
        <v>50</v>
      </c>
      <c r="D436" s="4">
        <v>18</v>
      </c>
    </row>
    <row r="437" spans="1:4" ht="15.75" customHeight="1" x14ac:dyDescent="0.35">
      <c r="A437" s="3">
        <v>45678</v>
      </c>
      <c r="B437" s="4" t="s">
        <v>23</v>
      </c>
      <c r="C437" s="4" t="s">
        <v>24</v>
      </c>
      <c r="D437" s="4">
        <v>20</v>
      </c>
    </row>
    <row r="438" spans="1:4" ht="15.75" customHeight="1" x14ac:dyDescent="0.35">
      <c r="A438" s="3">
        <v>45695</v>
      </c>
      <c r="B438" s="4" t="s">
        <v>63</v>
      </c>
      <c r="C438" s="4" t="s">
        <v>26</v>
      </c>
      <c r="D438" s="4">
        <v>54</v>
      </c>
    </row>
    <row r="439" spans="1:4" ht="15.75" customHeight="1" x14ac:dyDescent="0.35">
      <c r="A439" s="3">
        <v>45688</v>
      </c>
      <c r="B439" s="4" t="s">
        <v>49</v>
      </c>
      <c r="C439" s="4" t="s">
        <v>50</v>
      </c>
      <c r="D439" s="4">
        <v>65</v>
      </c>
    </row>
    <row r="440" spans="1:4" ht="15.75" customHeight="1" x14ac:dyDescent="0.35">
      <c r="A440" s="3">
        <v>45692</v>
      </c>
      <c r="B440" s="4" t="s">
        <v>19</v>
      </c>
      <c r="C440" s="4" t="s">
        <v>20</v>
      </c>
      <c r="D440" s="4">
        <v>16</v>
      </c>
    </row>
    <row r="441" spans="1:4" ht="15.75" customHeight="1" x14ac:dyDescent="0.35">
      <c r="A441" s="3">
        <v>45723</v>
      </c>
      <c r="B441" s="4" t="s">
        <v>137</v>
      </c>
      <c r="C441" s="4" t="s">
        <v>20</v>
      </c>
      <c r="D441" s="4">
        <v>56</v>
      </c>
    </row>
    <row r="442" spans="1:4" ht="15.75" customHeight="1" x14ac:dyDescent="0.35">
      <c r="A442" s="3">
        <v>45709</v>
      </c>
      <c r="B442" s="4" t="s">
        <v>93</v>
      </c>
      <c r="C442" s="4" t="s">
        <v>82</v>
      </c>
      <c r="D442" s="4">
        <v>13</v>
      </c>
    </row>
    <row r="443" spans="1:4" ht="15.75" customHeight="1" x14ac:dyDescent="0.35">
      <c r="A443" s="3">
        <v>45733</v>
      </c>
      <c r="B443" s="4" t="s">
        <v>105</v>
      </c>
      <c r="C443" s="4" t="s">
        <v>79</v>
      </c>
      <c r="D443" s="4">
        <v>55</v>
      </c>
    </row>
    <row r="444" spans="1:4" ht="15.75" customHeight="1" x14ac:dyDescent="0.35">
      <c r="A444" s="3">
        <v>45690</v>
      </c>
      <c r="B444" s="4" t="s">
        <v>103</v>
      </c>
      <c r="C444" s="4" t="s">
        <v>26</v>
      </c>
      <c r="D444" s="4">
        <v>1</v>
      </c>
    </row>
    <row r="445" spans="1:4" ht="15.75" customHeight="1" x14ac:dyDescent="0.35">
      <c r="A445" s="3">
        <v>45670</v>
      </c>
      <c r="B445" s="4" t="s">
        <v>76</v>
      </c>
      <c r="C445" s="4" t="s">
        <v>22</v>
      </c>
      <c r="D445" s="4">
        <v>39</v>
      </c>
    </row>
    <row r="446" spans="1:4" ht="15.75" customHeight="1" x14ac:dyDescent="0.35">
      <c r="A446" s="3">
        <v>45746</v>
      </c>
      <c r="B446" s="4" t="s">
        <v>14</v>
      </c>
      <c r="C446" s="4" t="s">
        <v>8</v>
      </c>
      <c r="D446" s="4">
        <v>33</v>
      </c>
    </row>
    <row r="447" spans="1:4" ht="15.75" customHeight="1" x14ac:dyDescent="0.35">
      <c r="A447" s="3">
        <v>45660</v>
      </c>
      <c r="B447" s="4" t="s">
        <v>18</v>
      </c>
      <c r="C447" s="4" t="s">
        <v>13</v>
      </c>
      <c r="D447" s="4">
        <v>76</v>
      </c>
    </row>
    <row r="448" spans="1:4" ht="15.75" customHeight="1" x14ac:dyDescent="0.35">
      <c r="A448" s="3">
        <v>45725</v>
      </c>
      <c r="B448" s="4" t="s">
        <v>33</v>
      </c>
      <c r="C448" s="4" t="s">
        <v>28</v>
      </c>
      <c r="D448" s="4">
        <v>7</v>
      </c>
    </row>
    <row r="449" spans="1:4" ht="15.75" customHeight="1" x14ac:dyDescent="0.35">
      <c r="A449" s="3">
        <v>45715</v>
      </c>
      <c r="B449" s="4" t="s">
        <v>143</v>
      </c>
      <c r="C449" s="4" t="s">
        <v>16</v>
      </c>
      <c r="D449" s="4">
        <v>19</v>
      </c>
    </row>
    <row r="450" spans="1:4" ht="15.75" customHeight="1" x14ac:dyDescent="0.35">
      <c r="A450" s="3">
        <v>45690</v>
      </c>
      <c r="B450" s="4" t="s">
        <v>136</v>
      </c>
      <c r="C450" s="4" t="s">
        <v>79</v>
      </c>
      <c r="D450" s="4">
        <v>36</v>
      </c>
    </row>
    <row r="451" spans="1:4" ht="15.75" customHeight="1" x14ac:dyDescent="0.35">
      <c r="A451" s="3">
        <v>45678</v>
      </c>
      <c r="B451" s="4" t="s">
        <v>48</v>
      </c>
      <c r="C451" s="4" t="s">
        <v>22</v>
      </c>
      <c r="D451" s="4">
        <v>51</v>
      </c>
    </row>
    <row r="452" spans="1:4" ht="15.75" customHeight="1" x14ac:dyDescent="0.35">
      <c r="A452" s="3">
        <v>45728</v>
      </c>
      <c r="B452" s="4" t="s">
        <v>142</v>
      </c>
      <c r="C452" s="4" t="s">
        <v>5</v>
      </c>
      <c r="D452" s="4">
        <v>22</v>
      </c>
    </row>
    <row r="453" spans="1:4" ht="15.75" customHeight="1" x14ac:dyDescent="0.35">
      <c r="A453" s="3">
        <v>45746</v>
      </c>
      <c r="B453" s="4" t="s">
        <v>91</v>
      </c>
      <c r="C453" s="4" t="s">
        <v>26</v>
      </c>
      <c r="D453" s="4">
        <v>1</v>
      </c>
    </row>
    <row r="454" spans="1:4" ht="15.75" customHeight="1" x14ac:dyDescent="0.35">
      <c r="A454" s="3">
        <v>45695</v>
      </c>
      <c r="B454" s="4" t="s">
        <v>112</v>
      </c>
      <c r="C454" s="4" t="s">
        <v>31</v>
      </c>
      <c r="D454" s="4">
        <v>23</v>
      </c>
    </row>
    <row r="455" spans="1:4" ht="15.75" customHeight="1" x14ac:dyDescent="0.35">
      <c r="A455" s="3">
        <v>45733</v>
      </c>
      <c r="B455" s="4" t="s">
        <v>17</v>
      </c>
      <c r="C455" s="4" t="s">
        <v>16</v>
      </c>
      <c r="D455" s="4">
        <v>61</v>
      </c>
    </row>
    <row r="456" spans="1:4" ht="15.75" customHeight="1" x14ac:dyDescent="0.35">
      <c r="A456" s="3">
        <v>45684</v>
      </c>
      <c r="B456" s="4" t="s">
        <v>12</v>
      </c>
      <c r="C456" s="4" t="s">
        <v>13</v>
      </c>
      <c r="D456" s="4">
        <v>70</v>
      </c>
    </row>
    <row r="457" spans="1:4" ht="15.75" customHeight="1" x14ac:dyDescent="0.35">
      <c r="A457" s="3">
        <v>45739</v>
      </c>
      <c r="B457" s="4" t="s">
        <v>115</v>
      </c>
      <c r="C457" s="4" t="s">
        <v>50</v>
      </c>
      <c r="D457" s="4">
        <v>23</v>
      </c>
    </row>
    <row r="458" spans="1:4" ht="15.75" customHeight="1" x14ac:dyDescent="0.35">
      <c r="A458" s="3">
        <v>45736</v>
      </c>
      <c r="B458" s="4" t="s">
        <v>19</v>
      </c>
      <c r="C458" s="4" t="s">
        <v>20</v>
      </c>
      <c r="D458" s="4">
        <v>74</v>
      </c>
    </row>
    <row r="459" spans="1:4" ht="15.75" customHeight="1" x14ac:dyDescent="0.35">
      <c r="A459" s="3">
        <v>45746</v>
      </c>
      <c r="B459" s="4" t="s">
        <v>21</v>
      </c>
      <c r="C459" s="4" t="s">
        <v>22</v>
      </c>
      <c r="D459" s="4">
        <v>66</v>
      </c>
    </row>
    <row r="460" spans="1:4" ht="15.75" customHeight="1" x14ac:dyDescent="0.35">
      <c r="A460" s="3">
        <v>45741</v>
      </c>
      <c r="B460" s="4" t="s">
        <v>114</v>
      </c>
      <c r="C460" s="4" t="s">
        <v>75</v>
      </c>
      <c r="D460" s="4">
        <v>37</v>
      </c>
    </row>
    <row r="461" spans="1:4" ht="15.75" customHeight="1" x14ac:dyDescent="0.35">
      <c r="A461" s="3">
        <v>45705</v>
      </c>
      <c r="B461" s="4" t="s">
        <v>30</v>
      </c>
      <c r="C461" s="4" t="s">
        <v>31</v>
      </c>
      <c r="D461" s="4">
        <v>24</v>
      </c>
    </row>
    <row r="462" spans="1:4" ht="15.75" customHeight="1" x14ac:dyDescent="0.35">
      <c r="A462" s="3">
        <v>45669</v>
      </c>
      <c r="B462" s="4" t="s">
        <v>36</v>
      </c>
      <c r="C462" s="4" t="s">
        <v>22</v>
      </c>
      <c r="D462" s="4">
        <v>60</v>
      </c>
    </row>
    <row r="463" spans="1:4" ht="15.75" customHeight="1" x14ac:dyDescent="0.35">
      <c r="A463" s="3">
        <v>45712</v>
      </c>
      <c r="B463" s="4" t="s">
        <v>49</v>
      </c>
      <c r="C463" s="4" t="s">
        <v>50</v>
      </c>
      <c r="D463" s="4">
        <v>62</v>
      </c>
    </row>
    <row r="464" spans="1:4" ht="15.75" customHeight="1" x14ac:dyDescent="0.35">
      <c r="A464" s="3">
        <v>45657</v>
      </c>
      <c r="B464" s="4" t="s">
        <v>63</v>
      </c>
      <c r="C464" s="4" t="s">
        <v>26</v>
      </c>
      <c r="D464" s="4">
        <v>55</v>
      </c>
    </row>
    <row r="465" spans="1:4" ht="15.75" customHeight="1" x14ac:dyDescent="0.35">
      <c r="A465" s="3">
        <v>45667</v>
      </c>
      <c r="B465" s="4" t="s">
        <v>77</v>
      </c>
      <c r="C465" s="4" t="s">
        <v>50</v>
      </c>
      <c r="D465" s="4">
        <v>78</v>
      </c>
    </row>
    <row r="466" spans="1:4" ht="15.75" customHeight="1" x14ac:dyDescent="0.35">
      <c r="A466" s="3">
        <v>45669</v>
      </c>
      <c r="B466" s="4" t="s">
        <v>127</v>
      </c>
      <c r="C466" s="4" t="s">
        <v>22</v>
      </c>
      <c r="D466" s="4">
        <v>19</v>
      </c>
    </row>
    <row r="467" spans="1:4" ht="15.75" customHeight="1" x14ac:dyDescent="0.35">
      <c r="A467" s="3">
        <v>45731</v>
      </c>
      <c r="B467" s="4" t="s">
        <v>51</v>
      </c>
      <c r="C467" s="4" t="s">
        <v>52</v>
      </c>
      <c r="D467" s="4">
        <v>74</v>
      </c>
    </row>
    <row r="468" spans="1:4" ht="15.75" customHeight="1" x14ac:dyDescent="0.35">
      <c r="A468" s="3">
        <v>45662</v>
      </c>
      <c r="B468" s="4" t="s">
        <v>29</v>
      </c>
      <c r="C468" s="4" t="s">
        <v>16</v>
      </c>
      <c r="D468" s="4">
        <v>30</v>
      </c>
    </row>
    <row r="469" spans="1:4" ht="15.75" customHeight="1" x14ac:dyDescent="0.35">
      <c r="A469" s="3">
        <v>45685</v>
      </c>
      <c r="B469" s="4" t="s">
        <v>134</v>
      </c>
      <c r="C469" s="4" t="s">
        <v>85</v>
      </c>
      <c r="D469" s="4">
        <v>62</v>
      </c>
    </row>
    <row r="470" spans="1:4" ht="15.75" customHeight="1" x14ac:dyDescent="0.35">
      <c r="A470" s="3">
        <v>45704</v>
      </c>
      <c r="B470" s="4" t="s">
        <v>90</v>
      </c>
      <c r="C470" s="4" t="s">
        <v>39</v>
      </c>
      <c r="D470" s="4">
        <v>40</v>
      </c>
    </row>
    <row r="471" spans="1:4" ht="15.75" customHeight="1" x14ac:dyDescent="0.35">
      <c r="A471" s="3">
        <v>45700</v>
      </c>
      <c r="B471" s="4" t="s">
        <v>81</v>
      </c>
      <c r="C471" s="4" t="s">
        <v>82</v>
      </c>
      <c r="D471" s="4">
        <v>3</v>
      </c>
    </row>
    <row r="472" spans="1:4" ht="15.75" customHeight="1" x14ac:dyDescent="0.35">
      <c r="A472" s="3">
        <v>45680</v>
      </c>
      <c r="B472" s="4" t="s">
        <v>92</v>
      </c>
      <c r="C472" s="4" t="s">
        <v>82</v>
      </c>
      <c r="D472" s="4">
        <v>58</v>
      </c>
    </row>
    <row r="473" spans="1:4" ht="15.75" customHeight="1" x14ac:dyDescent="0.35">
      <c r="A473" s="3">
        <v>45723</v>
      </c>
      <c r="B473" s="4" t="s">
        <v>29</v>
      </c>
      <c r="C473" s="4" t="s">
        <v>16</v>
      </c>
      <c r="D473" s="4">
        <v>64</v>
      </c>
    </row>
    <row r="474" spans="1:4" ht="15.75" customHeight="1" x14ac:dyDescent="0.35">
      <c r="A474" s="3">
        <v>45710</v>
      </c>
      <c r="B474" s="4" t="s">
        <v>69</v>
      </c>
      <c r="C474" s="4" t="s">
        <v>24</v>
      </c>
      <c r="D474" s="4">
        <v>55</v>
      </c>
    </row>
    <row r="475" spans="1:4" ht="15.75" customHeight="1" x14ac:dyDescent="0.35">
      <c r="A475" s="3">
        <v>45723</v>
      </c>
      <c r="B475" s="4" t="s">
        <v>137</v>
      </c>
      <c r="C475" s="4" t="s">
        <v>20</v>
      </c>
      <c r="D475" s="4">
        <v>29</v>
      </c>
    </row>
    <row r="476" spans="1:4" ht="15.75" customHeight="1" x14ac:dyDescent="0.35">
      <c r="A476" s="3">
        <v>45728</v>
      </c>
      <c r="B476" s="4" t="s">
        <v>141</v>
      </c>
      <c r="C476" s="4" t="s">
        <v>24</v>
      </c>
      <c r="D476" s="4">
        <v>49</v>
      </c>
    </row>
    <row r="477" spans="1:4" ht="15.75" customHeight="1" x14ac:dyDescent="0.35">
      <c r="A477" s="3">
        <v>45718</v>
      </c>
      <c r="B477" s="4" t="s">
        <v>45</v>
      </c>
      <c r="C477" s="4" t="s">
        <v>24</v>
      </c>
      <c r="D477" s="4">
        <v>9</v>
      </c>
    </row>
    <row r="478" spans="1:4" ht="15.75" customHeight="1" x14ac:dyDescent="0.35">
      <c r="A478" s="3">
        <v>45664</v>
      </c>
      <c r="B478" s="4" t="s">
        <v>56</v>
      </c>
      <c r="C478" s="4" t="s">
        <v>5</v>
      </c>
      <c r="D478" s="4">
        <v>63</v>
      </c>
    </row>
    <row r="479" spans="1:4" ht="15.75" customHeight="1" x14ac:dyDescent="0.35">
      <c r="A479" s="3">
        <v>45666</v>
      </c>
      <c r="B479" s="4" t="s">
        <v>101</v>
      </c>
      <c r="C479" s="4" t="s">
        <v>24</v>
      </c>
      <c r="D479" s="4">
        <v>32</v>
      </c>
    </row>
    <row r="480" spans="1:4" ht="15.75" customHeight="1" x14ac:dyDescent="0.35">
      <c r="A480" s="3">
        <v>45660</v>
      </c>
      <c r="B480" s="4" t="s">
        <v>142</v>
      </c>
      <c r="C480" s="4" t="s">
        <v>5</v>
      </c>
      <c r="D480" s="4">
        <v>1</v>
      </c>
    </row>
    <row r="481" spans="1:4" ht="15.75" customHeight="1" x14ac:dyDescent="0.35">
      <c r="A481" s="3">
        <v>45685</v>
      </c>
      <c r="B481" s="4" t="s">
        <v>125</v>
      </c>
      <c r="C481" s="4" t="s">
        <v>20</v>
      </c>
      <c r="D481" s="4">
        <v>52</v>
      </c>
    </row>
    <row r="482" spans="1:4" ht="15.75" customHeight="1" x14ac:dyDescent="0.35">
      <c r="A482" s="3">
        <v>45745</v>
      </c>
      <c r="B482" s="4" t="s">
        <v>42</v>
      </c>
      <c r="C482" s="4" t="s">
        <v>24</v>
      </c>
      <c r="D482" s="4">
        <v>29</v>
      </c>
    </row>
    <row r="483" spans="1:4" ht="15.75" customHeight="1" x14ac:dyDescent="0.35">
      <c r="A483" s="3">
        <v>45694</v>
      </c>
      <c r="B483" s="4" t="s">
        <v>37</v>
      </c>
      <c r="C483" s="4" t="s">
        <v>8</v>
      </c>
      <c r="D483" s="4">
        <v>2</v>
      </c>
    </row>
    <row r="484" spans="1:4" ht="15.75" customHeight="1" x14ac:dyDescent="0.35">
      <c r="A484" s="3">
        <v>45708</v>
      </c>
      <c r="B484" s="4" t="s">
        <v>65</v>
      </c>
      <c r="C484" s="4" t="s">
        <v>5</v>
      </c>
      <c r="D484" s="4">
        <v>24</v>
      </c>
    </row>
    <row r="485" spans="1:4" ht="15.75" customHeight="1" x14ac:dyDescent="0.35">
      <c r="A485" s="3">
        <v>45733</v>
      </c>
      <c r="B485" s="4" t="s">
        <v>125</v>
      </c>
      <c r="C485" s="4" t="s">
        <v>20</v>
      </c>
      <c r="D485" s="4">
        <v>36</v>
      </c>
    </row>
    <row r="486" spans="1:4" ht="15.75" customHeight="1" x14ac:dyDescent="0.35">
      <c r="A486" s="3">
        <v>45672</v>
      </c>
      <c r="B486" s="4" t="s">
        <v>81</v>
      </c>
      <c r="C486" s="4" t="s">
        <v>82</v>
      </c>
      <c r="D486" s="4">
        <v>55</v>
      </c>
    </row>
    <row r="487" spans="1:4" ht="15.75" customHeight="1" x14ac:dyDescent="0.35">
      <c r="A487" s="3">
        <v>45746</v>
      </c>
      <c r="B487" s="4" t="s">
        <v>46</v>
      </c>
      <c r="C487" s="4" t="s">
        <v>20</v>
      </c>
      <c r="D487" s="4">
        <v>49</v>
      </c>
    </row>
    <row r="488" spans="1:4" ht="15.75" customHeight="1" x14ac:dyDescent="0.35">
      <c r="A488" s="3">
        <v>45730</v>
      </c>
      <c r="B488" s="4" t="s">
        <v>18</v>
      </c>
      <c r="C488" s="4" t="s">
        <v>13</v>
      </c>
      <c r="D488" s="4">
        <v>29</v>
      </c>
    </row>
    <row r="489" spans="1:4" ht="15.75" customHeight="1" x14ac:dyDescent="0.35">
      <c r="A489" s="3">
        <v>45663</v>
      </c>
      <c r="B489" s="4" t="s">
        <v>113</v>
      </c>
      <c r="C489" s="4" t="s">
        <v>85</v>
      </c>
      <c r="D489" s="4">
        <v>49</v>
      </c>
    </row>
    <row r="490" spans="1:4" ht="15.75" customHeight="1" x14ac:dyDescent="0.35">
      <c r="A490" s="3">
        <v>45739</v>
      </c>
      <c r="B490" s="4" t="s">
        <v>133</v>
      </c>
      <c r="C490" s="4" t="s">
        <v>24</v>
      </c>
      <c r="D490" s="4">
        <v>59</v>
      </c>
    </row>
    <row r="491" spans="1:4" ht="15.75" customHeight="1" x14ac:dyDescent="0.35">
      <c r="A491" s="3">
        <v>45740</v>
      </c>
      <c r="B491" s="4" t="s">
        <v>127</v>
      </c>
      <c r="C491" s="4" t="s">
        <v>22</v>
      </c>
      <c r="D491" s="4">
        <v>28</v>
      </c>
    </row>
    <row r="492" spans="1:4" ht="15.75" customHeight="1" x14ac:dyDescent="0.35">
      <c r="A492" s="3">
        <v>45702</v>
      </c>
      <c r="B492" s="4" t="s">
        <v>124</v>
      </c>
      <c r="C492" s="4" t="s">
        <v>26</v>
      </c>
      <c r="D492" s="4">
        <v>53</v>
      </c>
    </row>
    <row r="493" spans="1:4" ht="15.75" customHeight="1" x14ac:dyDescent="0.35">
      <c r="A493" s="3">
        <v>45664</v>
      </c>
      <c r="B493" s="4" t="s">
        <v>78</v>
      </c>
      <c r="C493" s="4" t="s">
        <v>79</v>
      </c>
      <c r="D493" s="4">
        <v>46</v>
      </c>
    </row>
    <row r="494" spans="1:4" ht="15.75" customHeight="1" x14ac:dyDescent="0.35">
      <c r="A494" s="3">
        <v>45726</v>
      </c>
      <c r="B494" s="4" t="s">
        <v>6</v>
      </c>
      <c r="C494" s="4" t="s">
        <v>5</v>
      </c>
      <c r="D494" s="4">
        <v>69</v>
      </c>
    </row>
    <row r="495" spans="1:4" ht="15.75" customHeight="1" x14ac:dyDescent="0.35">
      <c r="A495" s="3">
        <v>45722</v>
      </c>
      <c r="B495" s="4" t="s">
        <v>94</v>
      </c>
      <c r="C495" s="4" t="s">
        <v>52</v>
      </c>
      <c r="D495" s="4">
        <v>75</v>
      </c>
    </row>
    <row r="496" spans="1:4" ht="15.75" customHeight="1" x14ac:dyDescent="0.35">
      <c r="A496" s="3">
        <v>45681</v>
      </c>
      <c r="B496" s="4" t="s">
        <v>120</v>
      </c>
      <c r="C496" s="4" t="s">
        <v>26</v>
      </c>
      <c r="D496" s="4">
        <v>66</v>
      </c>
    </row>
    <row r="497" spans="1:4" ht="15.75" customHeight="1" x14ac:dyDescent="0.35">
      <c r="A497" s="3">
        <v>45677</v>
      </c>
      <c r="B497" s="4" t="s">
        <v>99</v>
      </c>
      <c r="C497" s="4" t="s">
        <v>16</v>
      </c>
      <c r="D497" s="4">
        <v>49</v>
      </c>
    </row>
    <row r="498" spans="1:4" ht="15.75" customHeight="1" x14ac:dyDescent="0.35">
      <c r="A498" s="3">
        <v>45667</v>
      </c>
      <c r="B498" s="4" t="s">
        <v>80</v>
      </c>
      <c r="C498" s="4" t="s">
        <v>22</v>
      </c>
      <c r="D498" s="4">
        <v>50</v>
      </c>
    </row>
    <row r="499" spans="1:4" ht="15.75" customHeight="1" x14ac:dyDescent="0.35">
      <c r="A499" s="3">
        <v>45736</v>
      </c>
      <c r="B499" s="4" t="s">
        <v>59</v>
      </c>
      <c r="C499" s="4" t="s">
        <v>16</v>
      </c>
      <c r="D499" s="4">
        <v>46</v>
      </c>
    </row>
    <row r="500" spans="1:4" ht="15.75" customHeight="1" x14ac:dyDescent="0.35">
      <c r="A500" s="3">
        <v>45663</v>
      </c>
      <c r="B500" s="4" t="s">
        <v>139</v>
      </c>
      <c r="C500" s="4" t="s">
        <v>109</v>
      </c>
      <c r="D500" s="4">
        <v>5</v>
      </c>
    </row>
    <row r="501" spans="1:4" ht="15.75" customHeight="1" x14ac:dyDescent="0.35">
      <c r="A501" s="3">
        <v>45660</v>
      </c>
      <c r="B501" s="4" t="s">
        <v>93</v>
      </c>
      <c r="C501" s="4" t="s">
        <v>82</v>
      </c>
      <c r="D501" s="4">
        <v>34</v>
      </c>
    </row>
    <row r="502" spans="1:4" ht="15.75" customHeight="1" x14ac:dyDescent="0.35">
      <c r="A502" s="5"/>
    </row>
    <row r="503" spans="1:4" ht="15.75" customHeight="1" x14ac:dyDescent="0.35">
      <c r="A503" s="5"/>
    </row>
    <row r="504" spans="1:4" ht="15.75" customHeight="1" x14ac:dyDescent="0.35">
      <c r="A504" s="5"/>
    </row>
    <row r="505" spans="1:4" ht="15.75" customHeight="1" x14ac:dyDescent="0.35">
      <c r="A505" s="5"/>
    </row>
    <row r="506" spans="1:4" ht="15.75" customHeight="1" x14ac:dyDescent="0.35">
      <c r="A506" s="5"/>
    </row>
    <row r="507" spans="1:4" ht="15.75" customHeight="1" x14ac:dyDescent="0.35">
      <c r="A507" s="5"/>
    </row>
    <row r="508" spans="1:4" ht="15.75" customHeight="1" x14ac:dyDescent="0.35">
      <c r="A508" s="5"/>
    </row>
    <row r="509" spans="1:4" ht="15.75" customHeight="1" x14ac:dyDescent="0.35">
      <c r="A509" s="5"/>
    </row>
    <row r="510" spans="1:4" ht="15.75" customHeight="1" x14ac:dyDescent="0.35">
      <c r="A510" s="5"/>
    </row>
    <row r="511" spans="1:4" ht="15.75" customHeight="1" x14ac:dyDescent="0.35">
      <c r="A511" s="5"/>
    </row>
    <row r="512" spans="1:4" ht="15.75" customHeight="1" x14ac:dyDescent="0.35">
      <c r="A512" s="5"/>
    </row>
    <row r="513" spans="1:1" ht="15.75" customHeight="1" x14ac:dyDescent="0.35">
      <c r="A513" s="5"/>
    </row>
    <row r="514" spans="1:1" ht="15.75" customHeight="1" x14ac:dyDescent="0.35">
      <c r="A514" s="5"/>
    </row>
    <row r="515" spans="1:1" ht="15.75" customHeight="1" x14ac:dyDescent="0.35">
      <c r="A515" s="5"/>
    </row>
    <row r="516" spans="1:1" ht="15.75" customHeight="1" x14ac:dyDescent="0.35">
      <c r="A516" s="5"/>
    </row>
    <row r="517" spans="1:1" ht="15.75" customHeight="1" x14ac:dyDescent="0.35">
      <c r="A517" s="5"/>
    </row>
    <row r="518" spans="1:1" ht="15.75" customHeight="1" x14ac:dyDescent="0.35">
      <c r="A518" s="5"/>
    </row>
    <row r="519" spans="1:1" ht="15.75" customHeight="1" x14ac:dyDescent="0.35">
      <c r="A519" s="5"/>
    </row>
    <row r="520" spans="1:1" ht="15.75" customHeight="1" x14ac:dyDescent="0.35">
      <c r="A520" s="5"/>
    </row>
    <row r="521" spans="1:1" ht="15.75" customHeight="1" x14ac:dyDescent="0.35">
      <c r="A521" s="5"/>
    </row>
    <row r="522" spans="1:1" ht="15.75" customHeight="1" x14ac:dyDescent="0.35">
      <c r="A522" s="5"/>
    </row>
    <row r="523" spans="1:1" ht="15.75" customHeight="1" x14ac:dyDescent="0.35">
      <c r="A523" s="5"/>
    </row>
    <row r="524" spans="1:1" ht="15.75" customHeight="1" x14ac:dyDescent="0.35">
      <c r="A524" s="5"/>
    </row>
    <row r="525" spans="1:1" ht="15.75" customHeight="1" x14ac:dyDescent="0.35">
      <c r="A525" s="5"/>
    </row>
    <row r="526" spans="1:1" ht="15.75" customHeight="1" x14ac:dyDescent="0.35">
      <c r="A526" s="5"/>
    </row>
    <row r="527" spans="1:1" ht="15.75" customHeight="1" x14ac:dyDescent="0.35">
      <c r="A527" s="5"/>
    </row>
    <row r="528" spans="1:1" ht="15.75" customHeight="1" x14ac:dyDescent="0.35">
      <c r="A528" s="5"/>
    </row>
    <row r="529" spans="1:1" ht="15.75" customHeight="1" x14ac:dyDescent="0.35">
      <c r="A529" s="5"/>
    </row>
    <row r="530" spans="1:1" ht="15.75" customHeight="1" x14ac:dyDescent="0.35">
      <c r="A530" s="5"/>
    </row>
    <row r="531" spans="1:1" ht="15.75" customHeight="1" x14ac:dyDescent="0.35">
      <c r="A531" s="5"/>
    </row>
    <row r="532" spans="1:1" ht="15.75" customHeight="1" x14ac:dyDescent="0.35">
      <c r="A532" s="5"/>
    </row>
    <row r="533" spans="1:1" ht="15.75" customHeight="1" x14ac:dyDescent="0.35">
      <c r="A533" s="5"/>
    </row>
    <row r="534" spans="1:1" ht="15.75" customHeight="1" x14ac:dyDescent="0.35">
      <c r="A534" s="5"/>
    </row>
    <row r="535" spans="1:1" ht="15.75" customHeight="1" x14ac:dyDescent="0.35">
      <c r="A535" s="5"/>
    </row>
    <row r="536" spans="1:1" ht="15.75" customHeight="1" x14ac:dyDescent="0.35">
      <c r="A536" s="5"/>
    </row>
    <row r="537" spans="1:1" ht="15.75" customHeight="1" x14ac:dyDescent="0.35">
      <c r="A537" s="5"/>
    </row>
    <row r="538" spans="1:1" ht="15.75" customHeight="1" x14ac:dyDescent="0.35">
      <c r="A538" s="5"/>
    </row>
    <row r="539" spans="1:1" ht="15.75" customHeight="1" x14ac:dyDescent="0.35">
      <c r="A539" s="5"/>
    </row>
    <row r="540" spans="1:1" ht="15.75" customHeight="1" x14ac:dyDescent="0.35">
      <c r="A540" s="5"/>
    </row>
    <row r="541" spans="1:1" ht="15.75" customHeight="1" x14ac:dyDescent="0.35">
      <c r="A541" s="5"/>
    </row>
    <row r="542" spans="1:1" ht="15.75" customHeight="1" x14ac:dyDescent="0.35">
      <c r="A542" s="5"/>
    </row>
    <row r="543" spans="1:1" ht="15.75" customHeight="1" x14ac:dyDescent="0.35">
      <c r="A543" s="5"/>
    </row>
    <row r="544" spans="1:1" ht="15.75" customHeight="1" x14ac:dyDescent="0.35">
      <c r="A544" s="5"/>
    </row>
    <row r="545" spans="1:1" ht="15.75" customHeight="1" x14ac:dyDescent="0.35">
      <c r="A545" s="5"/>
    </row>
    <row r="546" spans="1:1" ht="15.75" customHeight="1" x14ac:dyDescent="0.35">
      <c r="A546" s="5"/>
    </row>
    <row r="547" spans="1:1" ht="15.75" customHeight="1" x14ac:dyDescent="0.35">
      <c r="A547" s="5"/>
    </row>
    <row r="548" spans="1:1" ht="15.75" customHeight="1" x14ac:dyDescent="0.35">
      <c r="A548" s="5"/>
    </row>
    <row r="549" spans="1:1" ht="15.75" customHeight="1" x14ac:dyDescent="0.35">
      <c r="A549" s="5"/>
    </row>
    <row r="550" spans="1:1" ht="15.75" customHeight="1" x14ac:dyDescent="0.35">
      <c r="A550" s="5"/>
    </row>
    <row r="551" spans="1:1" ht="15.75" customHeight="1" x14ac:dyDescent="0.35">
      <c r="A551" s="5"/>
    </row>
    <row r="552" spans="1:1" ht="15.75" customHeight="1" x14ac:dyDescent="0.35">
      <c r="A552" s="5"/>
    </row>
    <row r="553" spans="1:1" ht="15.75" customHeight="1" x14ac:dyDescent="0.35">
      <c r="A553" s="5"/>
    </row>
    <row r="554" spans="1:1" ht="15.75" customHeight="1" x14ac:dyDescent="0.35">
      <c r="A554" s="5"/>
    </row>
    <row r="555" spans="1:1" ht="15.75" customHeight="1" x14ac:dyDescent="0.35">
      <c r="A555" s="5"/>
    </row>
    <row r="556" spans="1:1" ht="15.75" customHeight="1" x14ac:dyDescent="0.35">
      <c r="A556" s="5"/>
    </row>
    <row r="557" spans="1:1" ht="15.75" customHeight="1" x14ac:dyDescent="0.35">
      <c r="A557" s="5"/>
    </row>
    <row r="558" spans="1:1" ht="15.75" customHeight="1" x14ac:dyDescent="0.35">
      <c r="A558" s="5"/>
    </row>
    <row r="559" spans="1:1" ht="15.75" customHeight="1" x14ac:dyDescent="0.35">
      <c r="A559" s="5"/>
    </row>
    <row r="560" spans="1:1" ht="15.75" customHeight="1" x14ac:dyDescent="0.35">
      <c r="A560" s="5"/>
    </row>
    <row r="561" spans="1:1" ht="15.75" customHeight="1" x14ac:dyDescent="0.35">
      <c r="A561" s="5"/>
    </row>
    <row r="562" spans="1:1" ht="15.75" customHeight="1" x14ac:dyDescent="0.35">
      <c r="A562" s="5"/>
    </row>
    <row r="563" spans="1:1" ht="15.75" customHeight="1" x14ac:dyDescent="0.35">
      <c r="A563" s="5"/>
    </row>
    <row r="564" spans="1:1" ht="15.75" customHeight="1" x14ac:dyDescent="0.35">
      <c r="A564" s="5"/>
    </row>
    <row r="565" spans="1:1" ht="15.75" customHeight="1" x14ac:dyDescent="0.35">
      <c r="A565" s="5"/>
    </row>
    <row r="566" spans="1:1" ht="15.75" customHeight="1" x14ac:dyDescent="0.35">
      <c r="A566" s="5"/>
    </row>
    <row r="567" spans="1:1" ht="15.75" customHeight="1" x14ac:dyDescent="0.35">
      <c r="A567" s="5"/>
    </row>
    <row r="568" spans="1:1" ht="15.75" customHeight="1" x14ac:dyDescent="0.35">
      <c r="A568" s="5"/>
    </row>
    <row r="569" spans="1:1" ht="15.75" customHeight="1" x14ac:dyDescent="0.35">
      <c r="A569" s="5"/>
    </row>
    <row r="570" spans="1:1" ht="15.75" customHeight="1" x14ac:dyDescent="0.35">
      <c r="A570" s="5"/>
    </row>
    <row r="571" spans="1:1" ht="15.75" customHeight="1" x14ac:dyDescent="0.35">
      <c r="A571" s="5"/>
    </row>
    <row r="572" spans="1:1" ht="15.75" customHeight="1" x14ac:dyDescent="0.35">
      <c r="A572" s="5"/>
    </row>
    <row r="573" spans="1:1" ht="15.75" customHeight="1" x14ac:dyDescent="0.35">
      <c r="A573" s="5"/>
    </row>
    <row r="574" spans="1:1" ht="15.75" customHeight="1" x14ac:dyDescent="0.35">
      <c r="A574" s="5"/>
    </row>
    <row r="575" spans="1:1" ht="15.75" customHeight="1" x14ac:dyDescent="0.35">
      <c r="A575" s="5"/>
    </row>
    <row r="576" spans="1:1" ht="15.75" customHeight="1" x14ac:dyDescent="0.35">
      <c r="A576" s="5"/>
    </row>
    <row r="577" spans="1:1" ht="15.75" customHeight="1" x14ac:dyDescent="0.35">
      <c r="A577" s="5"/>
    </row>
    <row r="578" spans="1:1" ht="15.75" customHeight="1" x14ac:dyDescent="0.35">
      <c r="A578" s="5"/>
    </row>
    <row r="579" spans="1:1" ht="15.75" customHeight="1" x14ac:dyDescent="0.35">
      <c r="A579" s="5"/>
    </row>
    <row r="580" spans="1:1" ht="15.75" customHeight="1" x14ac:dyDescent="0.35">
      <c r="A580" s="5"/>
    </row>
    <row r="581" spans="1:1" ht="15.75" customHeight="1" x14ac:dyDescent="0.35">
      <c r="A581" s="5"/>
    </row>
    <row r="582" spans="1:1" ht="15.75" customHeight="1" x14ac:dyDescent="0.35">
      <c r="A582" s="5"/>
    </row>
    <row r="583" spans="1:1" ht="15.75" customHeight="1" x14ac:dyDescent="0.35">
      <c r="A583" s="5"/>
    </row>
    <row r="584" spans="1:1" ht="15.75" customHeight="1" x14ac:dyDescent="0.35">
      <c r="A584" s="5"/>
    </row>
    <row r="585" spans="1:1" ht="15.75" customHeight="1" x14ac:dyDescent="0.35">
      <c r="A585" s="5"/>
    </row>
    <row r="586" spans="1:1" ht="15.75" customHeight="1" x14ac:dyDescent="0.35">
      <c r="A586" s="5"/>
    </row>
    <row r="587" spans="1:1" ht="15.75" customHeight="1" x14ac:dyDescent="0.35">
      <c r="A587" s="5"/>
    </row>
    <row r="588" spans="1:1" ht="15.75" customHeight="1" x14ac:dyDescent="0.35">
      <c r="A588" s="5"/>
    </row>
    <row r="589" spans="1:1" ht="15.75" customHeight="1" x14ac:dyDescent="0.35">
      <c r="A589" s="5"/>
    </row>
    <row r="590" spans="1:1" ht="15.75" customHeight="1" x14ac:dyDescent="0.35">
      <c r="A590" s="5"/>
    </row>
    <row r="591" spans="1:1" ht="15.75" customHeight="1" x14ac:dyDescent="0.35">
      <c r="A591" s="5"/>
    </row>
    <row r="592" spans="1:1" ht="15.75" customHeight="1" x14ac:dyDescent="0.35">
      <c r="A592" s="5"/>
    </row>
    <row r="593" spans="1:1" ht="15.75" customHeight="1" x14ac:dyDescent="0.35">
      <c r="A593" s="5"/>
    </row>
    <row r="594" spans="1:1" ht="15.75" customHeight="1" x14ac:dyDescent="0.35">
      <c r="A594" s="5"/>
    </row>
    <row r="595" spans="1:1" ht="15.75" customHeight="1" x14ac:dyDescent="0.35">
      <c r="A595" s="5"/>
    </row>
    <row r="596" spans="1:1" ht="15.75" customHeight="1" x14ac:dyDescent="0.35">
      <c r="A596" s="5"/>
    </row>
    <row r="597" spans="1:1" ht="15.75" customHeight="1" x14ac:dyDescent="0.35">
      <c r="A597" s="5"/>
    </row>
    <row r="598" spans="1:1" ht="15.75" customHeight="1" x14ac:dyDescent="0.35">
      <c r="A598" s="5"/>
    </row>
    <row r="599" spans="1:1" ht="15.75" customHeight="1" x14ac:dyDescent="0.35">
      <c r="A599" s="5"/>
    </row>
    <row r="600" spans="1:1" ht="15.75" customHeight="1" x14ac:dyDescent="0.35">
      <c r="A600" s="5"/>
    </row>
    <row r="601" spans="1:1" ht="15.75" customHeight="1" x14ac:dyDescent="0.35">
      <c r="A601" s="5"/>
    </row>
    <row r="602" spans="1:1" ht="15.75" customHeight="1" x14ac:dyDescent="0.35">
      <c r="A602" s="5"/>
    </row>
    <row r="603" spans="1:1" ht="15.75" customHeight="1" x14ac:dyDescent="0.35">
      <c r="A603" s="5"/>
    </row>
    <row r="604" spans="1:1" ht="15.75" customHeight="1" x14ac:dyDescent="0.35">
      <c r="A604" s="5"/>
    </row>
    <row r="605" spans="1:1" ht="15.75" customHeight="1" x14ac:dyDescent="0.35">
      <c r="A605" s="5"/>
    </row>
    <row r="606" spans="1:1" ht="15.75" customHeight="1" x14ac:dyDescent="0.35">
      <c r="A606" s="5"/>
    </row>
    <row r="607" spans="1:1" ht="15.75" customHeight="1" x14ac:dyDescent="0.35">
      <c r="A607" s="5"/>
    </row>
    <row r="608" spans="1:1" ht="15.75" customHeight="1" x14ac:dyDescent="0.35">
      <c r="A608" s="5"/>
    </row>
    <row r="609" spans="1:1" ht="15.75" customHeight="1" x14ac:dyDescent="0.35">
      <c r="A609" s="5"/>
    </row>
    <row r="610" spans="1:1" ht="15.75" customHeight="1" x14ac:dyDescent="0.35">
      <c r="A610" s="5"/>
    </row>
    <row r="611" spans="1:1" ht="15.75" customHeight="1" x14ac:dyDescent="0.35">
      <c r="A611" s="5"/>
    </row>
    <row r="612" spans="1:1" ht="15.75" customHeight="1" x14ac:dyDescent="0.35">
      <c r="A612" s="5"/>
    </row>
    <row r="613" spans="1:1" ht="15.75" customHeight="1" x14ac:dyDescent="0.35">
      <c r="A613" s="5"/>
    </row>
    <row r="614" spans="1:1" ht="15.75" customHeight="1" x14ac:dyDescent="0.35">
      <c r="A614" s="5"/>
    </row>
    <row r="615" spans="1:1" ht="15.75" customHeight="1" x14ac:dyDescent="0.35">
      <c r="A615" s="5"/>
    </row>
    <row r="616" spans="1:1" ht="15.75" customHeight="1" x14ac:dyDescent="0.35">
      <c r="A616" s="5"/>
    </row>
    <row r="617" spans="1:1" ht="15.75" customHeight="1" x14ac:dyDescent="0.35">
      <c r="A617" s="5"/>
    </row>
    <row r="618" spans="1:1" ht="15.75" customHeight="1" x14ac:dyDescent="0.35">
      <c r="A618" s="5"/>
    </row>
    <row r="619" spans="1:1" ht="15.75" customHeight="1" x14ac:dyDescent="0.35">
      <c r="A619" s="5"/>
    </row>
    <row r="620" spans="1:1" ht="15.75" customHeight="1" x14ac:dyDescent="0.35">
      <c r="A620" s="5"/>
    </row>
    <row r="621" spans="1:1" ht="15.75" customHeight="1" x14ac:dyDescent="0.35">
      <c r="A621" s="5"/>
    </row>
    <row r="622" spans="1:1" ht="15.75" customHeight="1" x14ac:dyDescent="0.35">
      <c r="A622" s="5"/>
    </row>
    <row r="623" spans="1:1" ht="15.75" customHeight="1" x14ac:dyDescent="0.35">
      <c r="A623" s="5"/>
    </row>
    <row r="624" spans="1:1" ht="15.75" customHeight="1" x14ac:dyDescent="0.35">
      <c r="A624" s="5"/>
    </row>
    <row r="625" spans="1:1" ht="15.75" customHeight="1" x14ac:dyDescent="0.35">
      <c r="A625" s="5"/>
    </row>
    <row r="626" spans="1:1" ht="15.75" customHeight="1" x14ac:dyDescent="0.35">
      <c r="A626" s="5"/>
    </row>
    <row r="627" spans="1:1" ht="15.75" customHeight="1" x14ac:dyDescent="0.35">
      <c r="A627" s="5"/>
    </row>
    <row r="628" spans="1:1" ht="15.75" customHeight="1" x14ac:dyDescent="0.35">
      <c r="A628" s="5"/>
    </row>
    <row r="629" spans="1:1" ht="15.75" customHeight="1" x14ac:dyDescent="0.35">
      <c r="A629" s="5"/>
    </row>
    <row r="630" spans="1:1" ht="15.75" customHeight="1" x14ac:dyDescent="0.35">
      <c r="A630" s="5"/>
    </row>
    <row r="631" spans="1:1" ht="15.75" customHeight="1" x14ac:dyDescent="0.35">
      <c r="A631" s="5"/>
    </row>
    <row r="632" spans="1:1" ht="15.75" customHeight="1" x14ac:dyDescent="0.35">
      <c r="A632" s="5"/>
    </row>
    <row r="633" spans="1:1" ht="15.75" customHeight="1" x14ac:dyDescent="0.35">
      <c r="A633" s="5"/>
    </row>
    <row r="634" spans="1:1" ht="15.75" customHeight="1" x14ac:dyDescent="0.35">
      <c r="A634" s="5"/>
    </row>
    <row r="635" spans="1:1" ht="15.75" customHeight="1" x14ac:dyDescent="0.35">
      <c r="A635" s="5"/>
    </row>
    <row r="636" spans="1:1" ht="15.75" customHeight="1" x14ac:dyDescent="0.35">
      <c r="A636" s="5"/>
    </row>
    <row r="637" spans="1:1" ht="15.75" customHeight="1" x14ac:dyDescent="0.35">
      <c r="A637" s="5"/>
    </row>
    <row r="638" spans="1:1" ht="15.75" customHeight="1" x14ac:dyDescent="0.35">
      <c r="A638" s="5"/>
    </row>
    <row r="639" spans="1:1" ht="15.75" customHeight="1" x14ac:dyDescent="0.35">
      <c r="A639" s="5"/>
    </row>
    <row r="640" spans="1:1" ht="15.75" customHeight="1" x14ac:dyDescent="0.35">
      <c r="A640" s="5"/>
    </row>
    <row r="641" spans="1:1" ht="15.75" customHeight="1" x14ac:dyDescent="0.35">
      <c r="A641" s="5"/>
    </row>
    <row r="642" spans="1:1" ht="15.75" customHeight="1" x14ac:dyDescent="0.35">
      <c r="A642" s="5"/>
    </row>
    <row r="643" spans="1:1" ht="15.75" customHeight="1" x14ac:dyDescent="0.35">
      <c r="A643" s="5"/>
    </row>
    <row r="644" spans="1:1" ht="15.75" customHeight="1" x14ac:dyDescent="0.35">
      <c r="A644" s="5"/>
    </row>
    <row r="645" spans="1:1" ht="15.75" customHeight="1" x14ac:dyDescent="0.35">
      <c r="A645" s="5"/>
    </row>
    <row r="646" spans="1:1" ht="15.75" customHeight="1" x14ac:dyDescent="0.35">
      <c r="A646" s="5"/>
    </row>
    <row r="647" spans="1:1" ht="15.75" customHeight="1" x14ac:dyDescent="0.35">
      <c r="A647" s="5"/>
    </row>
    <row r="648" spans="1:1" ht="15.75" customHeight="1" x14ac:dyDescent="0.35">
      <c r="A648" s="5"/>
    </row>
    <row r="649" spans="1:1" ht="15.75" customHeight="1" x14ac:dyDescent="0.35">
      <c r="A649" s="5"/>
    </row>
    <row r="650" spans="1:1" ht="15.75" customHeight="1" x14ac:dyDescent="0.35">
      <c r="A650" s="5"/>
    </row>
    <row r="651" spans="1:1" ht="15.75" customHeight="1" x14ac:dyDescent="0.35">
      <c r="A651" s="5"/>
    </row>
    <row r="652" spans="1:1" ht="15.75" customHeight="1" x14ac:dyDescent="0.35">
      <c r="A652" s="5"/>
    </row>
    <row r="653" spans="1:1" ht="15.75" customHeight="1" x14ac:dyDescent="0.35">
      <c r="A653" s="5"/>
    </row>
    <row r="654" spans="1:1" ht="15.75" customHeight="1" x14ac:dyDescent="0.35">
      <c r="A654" s="5"/>
    </row>
    <row r="655" spans="1:1" ht="15.75" customHeight="1" x14ac:dyDescent="0.35">
      <c r="A655" s="5"/>
    </row>
    <row r="656" spans="1:1" ht="15.75" customHeight="1" x14ac:dyDescent="0.35">
      <c r="A656" s="5"/>
    </row>
    <row r="657" spans="1:1" ht="15.75" customHeight="1" x14ac:dyDescent="0.35">
      <c r="A657" s="5"/>
    </row>
    <row r="658" spans="1:1" ht="15.75" customHeight="1" x14ac:dyDescent="0.35">
      <c r="A658" s="5"/>
    </row>
    <row r="659" spans="1:1" ht="15.75" customHeight="1" x14ac:dyDescent="0.35">
      <c r="A659" s="5"/>
    </row>
    <row r="660" spans="1:1" ht="15.75" customHeight="1" x14ac:dyDescent="0.35">
      <c r="A660" s="5"/>
    </row>
    <row r="661" spans="1:1" ht="15.75" customHeight="1" x14ac:dyDescent="0.35">
      <c r="A661" s="5"/>
    </row>
    <row r="662" spans="1:1" ht="15.75" customHeight="1" x14ac:dyDescent="0.35">
      <c r="A662" s="5"/>
    </row>
    <row r="663" spans="1:1" ht="15.75" customHeight="1" x14ac:dyDescent="0.35">
      <c r="A663" s="5"/>
    </row>
    <row r="664" spans="1:1" ht="15.75" customHeight="1" x14ac:dyDescent="0.35">
      <c r="A664" s="5"/>
    </row>
    <row r="665" spans="1:1" ht="15.75" customHeight="1" x14ac:dyDescent="0.35">
      <c r="A665" s="5"/>
    </row>
    <row r="666" spans="1:1" ht="15.75" customHeight="1" x14ac:dyDescent="0.35">
      <c r="A666" s="5"/>
    </row>
    <row r="667" spans="1:1" ht="15.75" customHeight="1" x14ac:dyDescent="0.35">
      <c r="A667" s="5"/>
    </row>
    <row r="668" spans="1:1" ht="15.75" customHeight="1" x14ac:dyDescent="0.35">
      <c r="A668" s="5"/>
    </row>
    <row r="669" spans="1:1" ht="15.75" customHeight="1" x14ac:dyDescent="0.35">
      <c r="A669" s="5"/>
    </row>
    <row r="670" spans="1:1" ht="15.75" customHeight="1" x14ac:dyDescent="0.35">
      <c r="A670" s="5"/>
    </row>
    <row r="671" spans="1:1" ht="15.75" customHeight="1" x14ac:dyDescent="0.35">
      <c r="A671" s="5"/>
    </row>
    <row r="672" spans="1:1" ht="15.75" customHeight="1" x14ac:dyDescent="0.35">
      <c r="A672" s="5"/>
    </row>
    <row r="673" spans="1:1" ht="15.75" customHeight="1" x14ac:dyDescent="0.35">
      <c r="A673" s="5"/>
    </row>
    <row r="674" spans="1:1" ht="15.75" customHeight="1" x14ac:dyDescent="0.35">
      <c r="A674" s="5"/>
    </row>
    <row r="675" spans="1:1" ht="15.75" customHeight="1" x14ac:dyDescent="0.35">
      <c r="A675" s="5"/>
    </row>
    <row r="676" spans="1:1" ht="15.75" customHeight="1" x14ac:dyDescent="0.35">
      <c r="A676" s="5"/>
    </row>
    <row r="677" spans="1:1" ht="15.75" customHeight="1" x14ac:dyDescent="0.35">
      <c r="A677" s="5"/>
    </row>
    <row r="678" spans="1:1" ht="15.75" customHeight="1" x14ac:dyDescent="0.35">
      <c r="A678" s="5"/>
    </row>
    <row r="679" spans="1:1" ht="15.75" customHeight="1" x14ac:dyDescent="0.35">
      <c r="A679" s="5"/>
    </row>
    <row r="680" spans="1:1" ht="15.75" customHeight="1" x14ac:dyDescent="0.35">
      <c r="A680" s="5"/>
    </row>
    <row r="681" spans="1:1" ht="15.75" customHeight="1" x14ac:dyDescent="0.35">
      <c r="A681" s="5"/>
    </row>
    <row r="682" spans="1:1" ht="15.75" customHeight="1" x14ac:dyDescent="0.35">
      <c r="A682" s="5"/>
    </row>
    <row r="683" spans="1:1" ht="15.75" customHeight="1" x14ac:dyDescent="0.35">
      <c r="A683" s="5"/>
    </row>
    <row r="684" spans="1:1" ht="15.75" customHeight="1" x14ac:dyDescent="0.35">
      <c r="A684" s="5"/>
    </row>
    <row r="685" spans="1:1" ht="15.75" customHeight="1" x14ac:dyDescent="0.35">
      <c r="A685" s="5"/>
    </row>
    <row r="686" spans="1:1" ht="15.75" customHeight="1" x14ac:dyDescent="0.35">
      <c r="A686" s="5"/>
    </row>
    <row r="687" spans="1:1" ht="15.75" customHeight="1" x14ac:dyDescent="0.35">
      <c r="A687" s="5"/>
    </row>
    <row r="688" spans="1:1" ht="15.75" customHeight="1" x14ac:dyDescent="0.35">
      <c r="A688" s="5"/>
    </row>
    <row r="689" spans="1:1" ht="15.75" customHeight="1" x14ac:dyDescent="0.35">
      <c r="A689" s="5"/>
    </row>
    <row r="690" spans="1:1" ht="15.75" customHeight="1" x14ac:dyDescent="0.35">
      <c r="A690" s="5"/>
    </row>
    <row r="691" spans="1:1" ht="15.75" customHeight="1" x14ac:dyDescent="0.35">
      <c r="A691" s="5"/>
    </row>
    <row r="692" spans="1:1" ht="15.75" customHeight="1" x14ac:dyDescent="0.35">
      <c r="A692" s="5"/>
    </row>
    <row r="693" spans="1:1" ht="15.75" customHeight="1" x14ac:dyDescent="0.35">
      <c r="A693" s="5"/>
    </row>
    <row r="694" spans="1:1" ht="15.75" customHeight="1" x14ac:dyDescent="0.35">
      <c r="A694" s="5"/>
    </row>
    <row r="695" spans="1:1" ht="15.75" customHeight="1" x14ac:dyDescent="0.35">
      <c r="A695" s="5"/>
    </row>
    <row r="696" spans="1:1" ht="15.75" customHeight="1" x14ac:dyDescent="0.35">
      <c r="A696" s="5"/>
    </row>
    <row r="697" spans="1:1" ht="15.75" customHeight="1" x14ac:dyDescent="0.35">
      <c r="A697" s="5"/>
    </row>
    <row r="698" spans="1:1" ht="15.75" customHeight="1" x14ac:dyDescent="0.35">
      <c r="A698" s="5"/>
    </row>
    <row r="699" spans="1:1" ht="15.75" customHeight="1" x14ac:dyDescent="0.35">
      <c r="A699" s="5"/>
    </row>
    <row r="700" spans="1:1" ht="15.75" customHeight="1" x14ac:dyDescent="0.35">
      <c r="A700" s="5"/>
    </row>
    <row r="701" spans="1:1" ht="15.75" customHeight="1" x14ac:dyDescent="0.35">
      <c r="A701" s="5"/>
    </row>
    <row r="702" spans="1:1" ht="15.75" customHeight="1" x14ac:dyDescent="0.35">
      <c r="A702" s="5"/>
    </row>
    <row r="703" spans="1:1" ht="15.75" customHeight="1" x14ac:dyDescent="0.35">
      <c r="A703" s="5"/>
    </row>
    <row r="704" spans="1:1" ht="15.75" customHeight="1" x14ac:dyDescent="0.35">
      <c r="A704" s="5"/>
    </row>
    <row r="705" spans="1:1" ht="15.75" customHeight="1" x14ac:dyDescent="0.35">
      <c r="A705" s="5"/>
    </row>
    <row r="706" spans="1:1" ht="15.75" customHeight="1" x14ac:dyDescent="0.35">
      <c r="A706" s="5"/>
    </row>
    <row r="707" spans="1:1" ht="15.75" customHeight="1" x14ac:dyDescent="0.35">
      <c r="A707" s="5"/>
    </row>
    <row r="708" spans="1:1" ht="15.75" customHeight="1" x14ac:dyDescent="0.35">
      <c r="A708" s="5"/>
    </row>
    <row r="709" spans="1:1" ht="15.75" customHeight="1" x14ac:dyDescent="0.35">
      <c r="A709" s="5"/>
    </row>
    <row r="710" spans="1:1" ht="15.75" customHeight="1" x14ac:dyDescent="0.35">
      <c r="A710" s="5"/>
    </row>
    <row r="711" spans="1:1" ht="15.75" customHeight="1" x14ac:dyDescent="0.35">
      <c r="A711" s="5"/>
    </row>
    <row r="712" spans="1:1" ht="15.75" customHeight="1" x14ac:dyDescent="0.35">
      <c r="A712" s="5"/>
    </row>
    <row r="713" spans="1:1" ht="15.75" customHeight="1" x14ac:dyDescent="0.35">
      <c r="A713" s="5"/>
    </row>
    <row r="714" spans="1:1" ht="15.75" customHeight="1" x14ac:dyDescent="0.35">
      <c r="A714" s="5"/>
    </row>
    <row r="715" spans="1:1" ht="15.75" customHeight="1" x14ac:dyDescent="0.35">
      <c r="A715" s="5"/>
    </row>
    <row r="716" spans="1:1" ht="15.75" customHeight="1" x14ac:dyDescent="0.35">
      <c r="A716" s="5"/>
    </row>
    <row r="717" spans="1:1" ht="15.75" customHeight="1" x14ac:dyDescent="0.35">
      <c r="A717" s="5"/>
    </row>
    <row r="718" spans="1:1" ht="15.75" customHeight="1" x14ac:dyDescent="0.35">
      <c r="A718" s="5"/>
    </row>
    <row r="719" spans="1:1" ht="15.75" customHeight="1" x14ac:dyDescent="0.35">
      <c r="A719" s="5"/>
    </row>
    <row r="720" spans="1:1" ht="15.75" customHeight="1" x14ac:dyDescent="0.35">
      <c r="A720" s="5"/>
    </row>
    <row r="721" spans="1:1" ht="15.75" customHeight="1" x14ac:dyDescent="0.35">
      <c r="A721" s="5"/>
    </row>
    <row r="722" spans="1:1" ht="15.75" customHeight="1" x14ac:dyDescent="0.35">
      <c r="A722" s="5"/>
    </row>
    <row r="723" spans="1:1" ht="15.75" customHeight="1" x14ac:dyDescent="0.35">
      <c r="A723" s="5"/>
    </row>
    <row r="724" spans="1:1" ht="15.75" customHeight="1" x14ac:dyDescent="0.35">
      <c r="A724" s="5"/>
    </row>
    <row r="725" spans="1:1" ht="15.75" customHeight="1" x14ac:dyDescent="0.35">
      <c r="A725" s="5"/>
    </row>
    <row r="726" spans="1:1" ht="15.75" customHeight="1" x14ac:dyDescent="0.35">
      <c r="A726" s="5"/>
    </row>
    <row r="727" spans="1:1" ht="15.75" customHeight="1" x14ac:dyDescent="0.35">
      <c r="A727" s="5"/>
    </row>
    <row r="728" spans="1:1" ht="15.75" customHeight="1" x14ac:dyDescent="0.35">
      <c r="A728" s="5"/>
    </row>
    <row r="729" spans="1:1" ht="15.75" customHeight="1" x14ac:dyDescent="0.35">
      <c r="A729" s="5"/>
    </row>
    <row r="730" spans="1:1" ht="15.75" customHeight="1" x14ac:dyDescent="0.35">
      <c r="A730" s="5"/>
    </row>
    <row r="731" spans="1:1" ht="15.75" customHeight="1" x14ac:dyDescent="0.35">
      <c r="A731" s="5"/>
    </row>
    <row r="732" spans="1:1" ht="15.75" customHeight="1" x14ac:dyDescent="0.35">
      <c r="A732" s="5"/>
    </row>
    <row r="733" spans="1:1" ht="15.75" customHeight="1" x14ac:dyDescent="0.35">
      <c r="A733" s="5"/>
    </row>
    <row r="734" spans="1:1" ht="15.75" customHeight="1" x14ac:dyDescent="0.35">
      <c r="A734" s="5"/>
    </row>
    <row r="735" spans="1:1" ht="15.75" customHeight="1" x14ac:dyDescent="0.35">
      <c r="A735" s="5"/>
    </row>
    <row r="736" spans="1:1" ht="15.75" customHeight="1" x14ac:dyDescent="0.35">
      <c r="A736" s="5"/>
    </row>
    <row r="737" spans="1:1" ht="15.75" customHeight="1" x14ac:dyDescent="0.35">
      <c r="A737" s="5"/>
    </row>
    <row r="738" spans="1:1" ht="15.75" customHeight="1" x14ac:dyDescent="0.35">
      <c r="A738" s="5"/>
    </row>
    <row r="739" spans="1:1" ht="15.75" customHeight="1" x14ac:dyDescent="0.35">
      <c r="A739" s="5"/>
    </row>
    <row r="740" spans="1:1" ht="15.75" customHeight="1" x14ac:dyDescent="0.35">
      <c r="A740" s="5"/>
    </row>
    <row r="741" spans="1:1" ht="15.75" customHeight="1" x14ac:dyDescent="0.35">
      <c r="A741" s="5"/>
    </row>
    <row r="742" spans="1:1" ht="15.75" customHeight="1" x14ac:dyDescent="0.35">
      <c r="A742" s="5"/>
    </row>
    <row r="743" spans="1:1" ht="15.75" customHeight="1" x14ac:dyDescent="0.35">
      <c r="A743" s="5"/>
    </row>
    <row r="744" spans="1:1" ht="15.75" customHeight="1" x14ac:dyDescent="0.35">
      <c r="A744" s="5"/>
    </row>
    <row r="745" spans="1:1" ht="15.75" customHeight="1" x14ac:dyDescent="0.35">
      <c r="A745" s="5"/>
    </row>
    <row r="746" spans="1:1" ht="15.75" customHeight="1" x14ac:dyDescent="0.35">
      <c r="A746" s="5"/>
    </row>
    <row r="747" spans="1:1" ht="15.75" customHeight="1" x14ac:dyDescent="0.35">
      <c r="A747" s="5"/>
    </row>
    <row r="748" spans="1:1" ht="15.75" customHeight="1" x14ac:dyDescent="0.35">
      <c r="A748" s="5"/>
    </row>
    <row r="749" spans="1:1" ht="15.75" customHeight="1" x14ac:dyDescent="0.35">
      <c r="A749" s="5"/>
    </row>
    <row r="750" spans="1:1" ht="15.75" customHeight="1" x14ac:dyDescent="0.35">
      <c r="A750" s="5"/>
    </row>
    <row r="751" spans="1:1" ht="15.75" customHeight="1" x14ac:dyDescent="0.35">
      <c r="A751" s="5"/>
    </row>
    <row r="752" spans="1:1" ht="15.75" customHeight="1" x14ac:dyDescent="0.35">
      <c r="A752" s="5"/>
    </row>
    <row r="753" spans="1:1" ht="15.75" customHeight="1" x14ac:dyDescent="0.35">
      <c r="A753" s="5"/>
    </row>
    <row r="754" spans="1:1" ht="15.75" customHeight="1" x14ac:dyDescent="0.35">
      <c r="A754" s="5"/>
    </row>
    <row r="755" spans="1:1" ht="15.75" customHeight="1" x14ac:dyDescent="0.35">
      <c r="A755" s="5"/>
    </row>
    <row r="756" spans="1:1" ht="15.75" customHeight="1" x14ac:dyDescent="0.35">
      <c r="A756" s="5"/>
    </row>
    <row r="757" spans="1:1" ht="15.75" customHeight="1" x14ac:dyDescent="0.35">
      <c r="A757" s="5"/>
    </row>
    <row r="758" spans="1:1" ht="15.75" customHeight="1" x14ac:dyDescent="0.35">
      <c r="A758" s="5"/>
    </row>
    <row r="759" spans="1:1" ht="15.75" customHeight="1" x14ac:dyDescent="0.35">
      <c r="A759" s="5"/>
    </row>
    <row r="760" spans="1:1" ht="15.75" customHeight="1" x14ac:dyDescent="0.35">
      <c r="A760" s="5"/>
    </row>
    <row r="761" spans="1:1" ht="15.75" customHeight="1" x14ac:dyDescent="0.35">
      <c r="A761" s="5"/>
    </row>
    <row r="762" spans="1:1" ht="15.75" customHeight="1" x14ac:dyDescent="0.35">
      <c r="A762" s="5"/>
    </row>
    <row r="763" spans="1:1" ht="15.75" customHeight="1" x14ac:dyDescent="0.35">
      <c r="A763" s="5"/>
    </row>
    <row r="764" spans="1:1" ht="15.75" customHeight="1" x14ac:dyDescent="0.35">
      <c r="A764" s="5"/>
    </row>
    <row r="765" spans="1:1" ht="15.75" customHeight="1" x14ac:dyDescent="0.35">
      <c r="A765" s="5"/>
    </row>
    <row r="766" spans="1:1" ht="15.75" customHeight="1" x14ac:dyDescent="0.35">
      <c r="A766" s="5"/>
    </row>
    <row r="767" spans="1:1" ht="15.75" customHeight="1" x14ac:dyDescent="0.35">
      <c r="A767" s="5"/>
    </row>
    <row r="768" spans="1:1" ht="15.75" customHeight="1" x14ac:dyDescent="0.35">
      <c r="A768" s="5"/>
    </row>
    <row r="769" spans="1:1" ht="15.75" customHeight="1" x14ac:dyDescent="0.35">
      <c r="A769" s="5"/>
    </row>
    <row r="770" spans="1:1" ht="15.75" customHeight="1" x14ac:dyDescent="0.35">
      <c r="A770" s="5"/>
    </row>
    <row r="771" spans="1:1" ht="15.75" customHeight="1" x14ac:dyDescent="0.35">
      <c r="A771" s="5"/>
    </row>
    <row r="772" spans="1:1" ht="15.75" customHeight="1" x14ac:dyDescent="0.35">
      <c r="A772" s="5"/>
    </row>
    <row r="773" spans="1:1" ht="15.75" customHeight="1" x14ac:dyDescent="0.35">
      <c r="A773" s="5"/>
    </row>
    <row r="774" spans="1:1" ht="15.75" customHeight="1" x14ac:dyDescent="0.35">
      <c r="A774" s="5"/>
    </row>
    <row r="775" spans="1:1" ht="15.75" customHeight="1" x14ac:dyDescent="0.35">
      <c r="A775" s="5"/>
    </row>
    <row r="776" spans="1:1" ht="15.75" customHeight="1" x14ac:dyDescent="0.35">
      <c r="A776" s="5"/>
    </row>
    <row r="777" spans="1:1" ht="15.75" customHeight="1" x14ac:dyDescent="0.35">
      <c r="A777" s="5"/>
    </row>
    <row r="778" spans="1:1" ht="15.75" customHeight="1" x14ac:dyDescent="0.35">
      <c r="A778" s="5"/>
    </row>
    <row r="779" spans="1:1" ht="15.75" customHeight="1" x14ac:dyDescent="0.35">
      <c r="A779" s="5"/>
    </row>
    <row r="780" spans="1:1" ht="15.75" customHeight="1" x14ac:dyDescent="0.35">
      <c r="A780" s="5"/>
    </row>
    <row r="781" spans="1:1" ht="15.75" customHeight="1" x14ac:dyDescent="0.35">
      <c r="A781" s="5"/>
    </row>
    <row r="782" spans="1:1" ht="15.75" customHeight="1" x14ac:dyDescent="0.35">
      <c r="A782" s="5"/>
    </row>
    <row r="783" spans="1:1" ht="15.75" customHeight="1" x14ac:dyDescent="0.35">
      <c r="A783" s="5"/>
    </row>
    <row r="784" spans="1:1" ht="15.75" customHeight="1" x14ac:dyDescent="0.35">
      <c r="A784" s="5"/>
    </row>
    <row r="785" spans="1:1" ht="15.75" customHeight="1" x14ac:dyDescent="0.35">
      <c r="A785" s="5"/>
    </row>
    <row r="786" spans="1:1" ht="15.75" customHeight="1" x14ac:dyDescent="0.35">
      <c r="A786" s="5"/>
    </row>
    <row r="787" spans="1:1" ht="15.75" customHeight="1" x14ac:dyDescent="0.35">
      <c r="A787" s="5"/>
    </row>
    <row r="788" spans="1:1" ht="15.75" customHeight="1" x14ac:dyDescent="0.35">
      <c r="A788" s="5"/>
    </row>
    <row r="789" spans="1:1" ht="15.75" customHeight="1" x14ac:dyDescent="0.35">
      <c r="A789" s="5"/>
    </row>
    <row r="790" spans="1:1" ht="15.75" customHeight="1" x14ac:dyDescent="0.35">
      <c r="A790" s="5"/>
    </row>
    <row r="791" spans="1:1" ht="15.75" customHeight="1" x14ac:dyDescent="0.35">
      <c r="A791" s="5"/>
    </row>
    <row r="792" spans="1:1" ht="15.75" customHeight="1" x14ac:dyDescent="0.35">
      <c r="A792" s="5"/>
    </row>
    <row r="793" spans="1:1" ht="15.75" customHeight="1" x14ac:dyDescent="0.35">
      <c r="A793" s="5"/>
    </row>
    <row r="794" spans="1:1" ht="15.75" customHeight="1" x14ac:dyDescent="0.35">
      <c r="A794" s="5"/>
    </row>
    <row r="795" spans="1:1" ht="15.75" customHeight="1" x14ac:dyDescent="0.35">
      <c r="A795" s="5"/>
    </row>
    <row r="796" spans="1:1" ht="15.75" customHeight="1" x14ac:dyDescent="0.35">
      <c r="A796" s="5"/>
    </row>
    <row r="797" spans="1:1" ht="15.75" customHeight="1" x14ac:dyDescent="0.35">
      <c r="A797" s="5"/>
    </row>
    <row r="798" spans="1:1" ht="15.75" customHeight="1" x14ac:dyDescent="0.35">
      <c r="A798" s="5"/>
    </row>
    <row r="799" spans="1:1" ht="15.75" customHeight="1" x14ac:dyDescent="0.35">
      <c r="A799" s="5"/>
    </row>
    <row r="800" spans="1:1" ht="15.75" customHeight="1" x14ac:dyDescent="0.35">
      <c r="A800" s="5"/>
    </row>
    <row r="801" spans="1:1" ht="15.75" customHeight="1" x14ac:dyDescent="0.35">
      <c r="A801" s="5"/>
    </row>
    <row r="802" spans="1:1" ht="15.75" customHeight="1" x14ac:dyDescent="0.35">
      <c r="A802" s="5"/>
    </row>
    <row r="803" spans="1:1" ht="15.75" customHeight="1" x14ac:dyDescent="0.35">
      <c r="A803" s="5"/>
    </row>
    <row r="804" spans="1:1" ht="15.75" customHeight="1" x14ac:dyDescent="0.35">
      <c r="A804" s="5"/>
    </row>
    <row r="805" spans="1:1" ht="15.75" customHeight="1" x14ac:dyDescent="0.35">
      <c r="A805" s="5"/>
    </row>
    <row r="806" spans="1:1" ht="15.75" customHeight="1" x14ac:dyDescent="0.35">
      <c r="A806" s="5"/>
    </row>
    <row r="807" spans="1:1" ht="15.75" customHeight="1" x14ac:dyDescent="0.35">
      <c r="A807" s="5"/>
    </row>
    <row r="808" spans="1:1" ht="15.75" customHeight="1" x14ac:dyDescent="0.35">
      <c r="A808" s="5"/>
    </row>
    <row r="809" spans="1:1" ht="15.75" customHeight="1" x14ac:dyDescent="0.35">
      <c r="A809" s="5"/>
    </row>
    <row r="810" spans="1:1" ht="15.75" customHeight="1" x14ac:dyDescent="0.35">
      <c r="A810" s="5"/>
    </row>
    <row r="811" spans="1:1" ht="15.75" customHeight="1" x14ac:dyDescent="0.35">
      <c r="A811" s="5"/>
    </row>
    <row r="812" spans="1:1" ht="15.75" customHeight="1" x14ac:dyDescent="0.35">
      <c r="A812" s="5"/>
    </row>
    <row r="813" spans="1:1" ht="15.75" customHeight="1" x14ac:dyDescent="0.35">
      <c r="A813" s="5"/>
    </row>
    <row r="814" spans="1:1" ht="15.75" customHeight="1" x14ac:dyDescent="0.35">
      <c r="A814" s="5"/>
    </row>
    <row r="815" spans="1:1" ht="15.75" customHeight="1" x14ac:dyDescent="0.35">
      <c r="A815" s="5"/>
    </row>
    <row r="816" spans="1:1" ht="15.75" customHeight="1" x14ac:dyDescent="0.35">
      <c r="A816" s="5"/>
    </row>
    <row r="817" spans="1:1" ht="15.75" customHeight="1" x14ac:dyDescent="0.35">
      <c r="A817" s="5"/>
    </row>
    <row r="818" spans="1:1" ht="15.75" customHeight="1" x14ac:dyDescent="0.35">
      <c r="A818" s="5"/>
    </row>
    <row r="819" spans="1:1" ht="15.75" customHeight="1" x14ac:dyDescent="0.35">
      <c r="A819" s="5"/>
    </row>
    <row r="820" spans="1:1" ht="15.75" customHeight="1" x14ac:dyDescent="0.35">
      <c r="A820" s="5"/>
    </row>
    <row r="821" spans="1:1" ht="15.75" customHeight="1" x14ac:dyDescent="0.35">
      <c r="A821" s="5"/>
    </row>
    <row r="822" spans="1:1" ht="15.75" customHeight="1" x14ac:dyDescent="0.35">
      <c r="A822" s="5"/>
    </row>
    <row r="823" spans="1:1" ht="15.75" customHeight="1" x14ac:dyDescent="0.35">
      <c r="A823" s="5"/>
    </row>
    <row r="824" spans="1:1" ht="15.75" customHeight="1" x14ac:dyDescent="0.35">
      <c r="A824" s="5"/>
    </row>
    <row r="825" spans="1:1" ht="15.75" customHeight="1" x14ac:dyDescent="0.35">
      <c r="A825" s="5"/>
    </row>
    <row r="826" spans="1:1" ht="15.75" customHeight="1" x14ac:dyDescent="0.35">
      <c r="A826" s="5"/>
    </row>
    <row r="827" spans="1:1" ht="15.75" customHeight="1" x14ac:dyDescent="0.35">
      <c r="A827" s="5"/>
    </row>
    <row r="828" spans="1:1" ht="15.75" customHeight="1" x14ac:dyDescent="0.35">
      <c r="A828" s="5"/>
    </row>
    <row r="829" spans="1:1" ht="15.75" customHeight="1" x14ac:dyDescent="0.35">
      <c r="A829" s="5"/>
    </row>
    <row r="830" spans="1:1" ht="15.75" customHeight="1" x14ac:dyDescent="0.35">
      <c r="A830" s="5"/>
    </row>
    <row r="831" spans="1:1" ht="15.75" customHeight="1" x14ac:dyDescent="0.35">
      <c r="A831" s="5"/>
    </row>
    <row r="832" spans="1:1" ht="15.75" customHeight="1" x14ac:dyDescent="0.35">
      <c r="A832" s="5"/>
    </row>
    <row r="833" spans="1:1" ht="15.75" customHeight="1" x14ac:dyDescent="0.35">
      <c r="A833" s="5"/>
    </row>
    <row r="834" spans="1:1" ht="15.75" customHeight="1" x14ac:dyDescent="0.35">
      <c r="A834" s="5"/>
    </row>
    <row r="835" spans="1:1" ht="15.75" customHeight="1" x14ac:dyDescent="0.35">
      <c r="A835" s="5"/>
    </row>
    <row r="836" spans="1:1" ht="15.75" customHeight="1" x14ac:dyDescent="0.35">
      <c r="A836" s="5"/>
    </row>
    <row r="837" spans="1:1" ht="15.75" customHeight="1" x14ac:dyDescent="0.35">
      <c r="A837" s="5"/>
    </row>
    <row r="838" spans="1:1" ht="15.75" customHeight="1" x14ac:dyDescent="0.35">
      <c r="A838" s="5"/>
    </row>
    <row r="839" spans="1:1" ht="15.75" customHeight="1" x14ac:dyDescent="0.35">
      <c r="A839" s="5"/>
    </row>
    <row r="840" spans="1:1" ht="15.75" customHeight="1" x14ac:dyDescent="0.35">
      <c r="A840" s="5"/>
    </row>
    <row r="841" spans="1:1" ht="15.75" customHeight="1" x14ac:dyDescent="0.35">
      <c r="A841" s="5"/>
    </row>
    <row r="842" spans="1:1" ht="15.75" customHeight="1" x14ac:dyDescent="0.35">
      <c r="A842" s="5"/>
    </row>
    <row r="843" spans="1:1" ht="15.75" customHeight="1" x14ac:dyDescent="0.35">
      <c r="A843" s="5"/>
    </row>
    <row r="844" spans="1:1" ht="15.75" customHeight="1" x14ac:dyDescent="0.35">
      <c r="A844" s="5"/>
    </row>
    <row r="845" spans="1:1" ht="15.75" customHeight="1" x14ac:dyDescent="0.35">
      <c r="A845" s="5"/>
    </row>
    <row r="846" spans="1:1" ht="15.75" customHeight="1" x14ac:dyDescent="0.35">
      <c r="A846" s="5"/>
    </row>
    <row r="847" spans="1:1" ht="15.75" customHeight="1" x14ac:dyDescent="0.35">
      <c r="A847" s="5"/>
    </row>
    <row r="848" spans="1:1" ht="15.75" customHeight="1" x14ac:dyDescent="0.35">
      <c r="A848" s="5"/>
    </row>
    <row r="849" spans="1:1" ht="15.75" customHeight="1" x14ac:dyDescent="0.35">
      <c r="A849" s="5"/>
    </row>
    <row r="850" spans="1:1" ht="15.75" customHeight="1" x14ac:dyDescent="0.35">
      <c r="A850" s="5"/>
    </row>
    <row r="851" spans="1:1" ht="15.75" customHeight="1" x14ac:dyDescent="0.35">
      <c r="A851" s="5"/>
    </row>
    <row r="852" spans="1:1" ht="15.75" customHeight="1" x14ac:dyDescent="0.35">
      <c r="A852" s="5"/>
    </row>
    <row r="853" spans="1:1" ht="15.75" customHeight="1" x14ac:dyDescent="0.35">
      <c r="A853" s="5"/>
    </row>
    <row r="854" spans="1:1" ht="15.75" customHeight="1" x14ac:dyDescent="0.35">
      <c r="A854" s="5"/>
    </row>
    <row r="855" spans="1:1" ht="15.75" customHeight="1" x14ac:dyDescent="0.35">
      <c r="A855" s="5"/>
    </row>
    <row r="856" spans="1:1" ht="15.75" customHeight="1" x14ac:dyDescent="0.35">
      <c r="A856" s="5"/>
    </row>
    <row r="857" spans="1:1" ht="15.75" customHeight="1" x14ac:dyDescent="0.35">
      <c r="A857" s="5"/>
    </row>
    <row r="858" spans="1:1" ht="15.75" customHeight="1" x14ac:dyDescent="0.35">
      <c r="A858" s="5"/>
    </row>
    <row r="859" spans="1:1" ht="15.75" customHeight="1" x14ac:dyDescent="0.35">
      <c r="A859" s="5"/>
    </row>
    <row r="860" spans="1:1" ht="15.75" customHeight="1" x14ac:dyDescent="0.35">
      <c r="A860" s="5"/>
    </row>
    <row r="861" spans="1:1" ht="15.75" customHeight="1" x14ac:dyDescent="0.35">
      <c r="A861" s="5"/>
    </row>
    <row r="862" spans="1:1" ht="15.75" customHeight="1" x14ac:dyDescent="0.35">
      <c r="A862" s="5"/>
    </row>
    <row r="863" spans="1:1" ht="15.75" customHeight="1" x14ac:dyDescent="0.35">
      <c r="A863" s="5"/>
    </row>
    <row r="864" spans="1:1" ht="15.75" customHeight="1" x14ac:dyDescent="0.35">
      <c r="A864" s="5"/>
    </row>
    <row r="865" spans="1:1" ht="15.75" customHeight="1" x14ac:dyDescent="0.35">
      <c r="A865" s="5"/>
    </row>
    <row r="866" spans="1:1" ht="15.75" customHeight="1" x14ac:dyDescent="0.35">
      <c r="A866" s="5"/>
    </row>
    <row r="867" spans="1:1" ht="15.75" customHeight="1" x14ac:dyDescent="0.35">
      <c r="A867" s="5"/>
    </row>
    <row r="868" spans="1:1" ht="15.75" customHeight="1" x14ac:dyDescent="0.35">
      <c r="A868" s="5"/>
    </row>
    <row r="869" spans="1:1" ht="15.75" customHeight="1" x14ac:dyDescent="0.35">
      <c r="A869" s="5"/>
    </row>
    <row r="870" spans="1:1" ht="15.75" customHeight="1" x14ac:dyDescent="0.35">
      <c r="A870" s="5"/>
    </row>
    <row r="871" spans="1:1" ht="15.75" customHeight="1" x14ac:dyDescent="0.35">
      <c r="A871" s="5"/>
    </row>
    <row r="872" spans="1:1" ht="15.75" customHeight="1" x14ac:dyDescent="0.35">
      <c r="A872" s="5"/>
    </row>
    <row r="873" spans="1:1" ht="15.75" customHeight="1" x14ac:dyDescent="0.35">
      <c r="A873" s="5"/>
    </row>
    <row r="874" spans="1:1" ht="15.75" customHeight="1" x14ac:dyDescent="0.35">
      <c r="A874" s="5"/>
    </row>
    <row r="875" spans="1:1" ht="15.75" customHeight="1" x14ac:dyDescent="0.35">
      <c r="A875" s="5"/>
    </row>
    <row r="876" spans="1:1" ht="15.75" customHeight="1" x14ac:dyDescent="0.35">
      <c r="A876" s="5"/>
    </row>
    <row r="877" spans="1:1" ht="15.75" customHeight="1" x14ac:dyDescent="0.35">
      <c r="A877" s="5"/>
    </row>
    <row r="878" spans="1:1" ht="15.75" customHeight="1" x14ac:dyDescent="0.35">
      <c r="A878" s="5"/>
    </row>
    <row r="879" spans="1:1" ht="15.75" customHeight="1" x14ac:dyDescent="0.35">
      <c r="A879" s="5"/>
    </row>
    <row r="880" spans="1:1" ht="15.75" customHeight="1" x14ac:dyDescent="0.35">
      <c r="A880" s="5"/>
    </row>
    <row r="881" spans="1:1" ht="15.75" customHeight="1" x14ac:dyDescent="0.35">
      <c r="A881" s="5"/>
    </row>
    <row r="882" spans="1:1" ht="15.75" customHeight="1" x14ac:dyDescent="0.35">
      <c r="A882" s="5"/>
    </row>
    <row r="883" spans="1:1" ht="15.75" customHeight="1" x14ac:dyDescent="0.35">
      <c r="A883" s="5"/>
    </row>
    <row r="884" spans="1:1" ht="15.75" customHeight="1" x14ac:dyDescent="0.35">
      <c r="A884" s="5"/>
    </row>
    <row r="885" spans="1:1" ht="15.75" customHeight="1" x14ac:dyDescent="0.35">
      <c r="A885" s="5"/>
    </row>
    <row r="886" spans="1:1" ht="15.75" customHeight="1" x14ac:dyDescent="0.35">
      <c r="A886" s="5"/>
    </row>
    <row r="887" spans="1:1" ht="15.75" customHeight="1" x14ac:dyDescent="0.35">
      <c r="A887" s="5"/>
    </row>
    <row r="888" spans="1:1" ht="15.75" customHeight="1" x14ac:dyDescent="0.35">
      <c r="A888" s="5"/>
    </row>
    <row r="889" spans="1:1" ht="15.75" customHeight="1" x14ac:dyDescent="0.35">
      <c r="A889" s="5"/>
    </row>
    <row r="890" spans="1:1" ht="15.75" customHeight="1" x14ac:dyDescent="0.35">
      <c r="A890" s="5"/>
    </row>
    <row r="891" spans="1:1" ht="15.75" customHeight="1" x14ac:dyDescent="0.35">
      <c r="A891" s="5"/>
    </row>
    <row r="892" spans="1:1" ht="15.75" customHeight="1" x14ac:dyDescent="0.35">
      <c r="A892" s="5"/>
    </row>
    <row r="893" spans="1:1" ht="15.75" customHeight="1" x14ac:dyDescent="0.35">
      <c r="A893" s="5"/>
    </row>
    <row r="894" spans="1:1" ht="15.75" customHeight="1" x14ac:dyDescent="0.35">
      <c r="A894" s="5"/>
    </row>
    <row r="895" spans="1:1" ht="15.75" customHeight="1" x14ac:dyDescent="0.35">
      <c r="A895" s="5"/>
    </row>
    <row r="896" spans="1:1" ht="15.75" customHeight="1" x14ac:dyDescent="0.35">
      <c r="A896" s="5"/>
    </row>
    <row r="897" spans="1:1" ht="15.75" customHeight="1" x14ac:dyDescent="0.35">
      <c r="A897" s="5"/>
    </row>
    <row r="898" spans="1:1" ht="15.75" customHeight="1" x14ac:dyDescent="0.35">
      <c r="A898" s="5"/>
    </row>
    <row r="899" spans="1:1" ht="15.75" customHeight="1" x14ac:dyDescent="0.35">
      <c r="A899" s="5"/>
    </row>
    <row r="900" spans="1:1" ht="15.75" customHeight="1" x14ac:dyDescent="0.35">
      <c r="A900" s="5"/>
    </row>
    <row r="901" spans="1:1" ht="15.75" customHeight="1" x14ac:dyDescent="0.35">
      <c r="A901" s="5"/>
    </row>
    <row r="902" spans="1:1" ht="15.75" customHeight="1" x14ac:dyDescent="0.35">
      <c r="A902" s="5"/>
    </row>
    <row r="903" spans="1:1" ht="15.75" customHeight="1" x14ac:dyDescent="0.35">
      <c r="A903" s="5"/>
    </row>
    <row r="904" spans="1:1" ht="15.75" customHeight="1" x14ac:dyDescent="0.35">
      <c r="A904" s="5"/>
    </row>
    <row r="905" spans="1:1" ht="15.75" customHeight="1" x14ac:dyDescent="0.35">
      <c r="A905" s="5"/>
    </row>
    <row r="906" spans="1:1" ht="15.75" customHeight="1" x14ac:dyDescent="0.35">
      <c r="A906" s="5"/>
    </row>
    <row r="907" spans="1:1" ht="15.75" customHeight="1" x14ac:dyDescent="0.35">
      <c r="A907" s="5"/>
    </row>
    <row r="908" spans="1:1" ht="15.75" customHeight="1" x14ac:dyDescent="0.35">
      <c r="A908" s="5"/>
    </row>
    <row r="909" spans="1:1" ht="15.75" customHeight="1" x14ac:dyDescent="0.35">
      <c r="A909" s="5"/>
    </row>
    <row r="910" spans="1:1" ht="15.75" customHeight="1" x14ac:dyDescent="0.35">
      <c r="A910" s="5"/>
    </row>
    <row r="911" spans="1:1" ht="15.75" customHeight="1" x14ac:dyDescent="0.35">
      <c r="A911" s="5"/>
    </row>
    <row r="912" spans="1:1" ht="15.75" customHeight="1" x14ac:dyDescent="0.35">
      <c r="A912" s="5"/>
    </row>
    <row r="913" spans="1:1" ht="15.75" customHeight="1" x14ac:dyDescent="0.35">
      <c r="A913" s="5"/>
    </row>
    <row r="914" spans="1:1" ht="15.75" customHeight="1" x14ac:dyDescent="0.35">
      <c r="A914" s="5"/>
    </row>
    <row r="915" spans="1:1" ht="15.75" customHeight="1" x14ac:dyDescent="0.35">
      <c r="A915" s="5"/>
    </row>
    <row r="916" spans="1:1" ht="15.75" customHeight="1" x14ac:dyDescent="0.35">
      <c r="A916" s="5"/>
    </row>
    <row r="917" spans="1:1" ht="15.75" customHeight="1" x14ac:dyDescent="0.35">
      <c r="A917" s="5"/>
    </row>
    <row r="918" spans="1:1" ht="15.75" customHeight="1" x14ac:dyDescent="0.35">
      <c r="A918" s="5"/>
    </row>
    <row r="919" spans="1:1" ht="15.75" customHeight="1" x14ac:dyDescent="0.35">
      <c r="A919" s="5"/>
    </row>
    <row r="920" spans="1:1" ht="15.75" customHeight="1" x14ac:dyDescent="0.35">
      <c r="A920" s="5"/>
    </row>
    <row r="921" spans="1:1" ht="15.75" customHeight="1" x14ac:dyDescent="0.35">
      <c r="A921" s="5"/>
    </row>
    <row r="922" spans="1:1" ht="15.75" customHeight="1" x14ac:dyDescent="0.35">
      <c r="A922" s="5"/>
    </row>
    <row r="923" spans="1:1" ht="15.75" customHeight="1" x14ac:dyDescent="0.35">
      <c r="A923" s="5"/>
    </row>
    <row r="924" spans="1:1" ht="15.75" customHeight="1" x14ac:dyDescent="0.35">
      <c r="A924" s="5"/>
    </row>
    <row r="925" spans="1:1" ht="15.75" customHeight="1" x14ac:dyDescent="0.35">
      <c r="A925" s="5"/>
    </row>
    <row r="926" spans="1:1" ht="15.75" customHeight="1" x14ac:dyDescent="0.35">
      <c r="A926" s="5"/>
    </row>
    <row r="927" spans="1:1" ht="15.75" customHeight="1" x14ac:dyDescent="0.35">
      <c r="A927" s="5"/>
    </row>
    <row r="928" spans="1:1" ht="15.75" customHeight="1" x14ac:dyDescent="0.35">
      <c r="A928" s="5"/>
    </row>
    <row r="929" spans="1:1" ht="15.75" customHeight="1" x14ac:dyDescent="0.35">
      <c r="A929" s="5"/>
    </row>
    <row r="930" spans="1:1" ht="15.75" customHeight="1" x14ac:dyDescent="0.35">
      <c r="A930" s="5"/>
    </row>
    <row r="931" spans="1:1" ht="15.75" customHeight="1" x14ac:dyDescent="0.35">
      <c r="A931" s="5"/>
    </row>
    <row r="932" spans="1:1" ht="15.75" customHeight="1" x14ac:dyDescent="0.35">
      <c r="A932" s="5"/>
    </row>
    <row r="933" spans="1:1" ht="15.75" customHeight="1" x14ac:dyDescent="0.35">
      <c r="A933" s="5"/>
    </row>
    <row r="934" spans="1:1" ht="15.75" customHeight="1" x14ac:dyDescent="0.35">
      <c r="A934" s="5"/>
    </row>
    <row r="935" spans="1:1" ht="15.75" customHeight="1" x14ac:dyDescent="0.35">
      <c r="A935" s="5"/>
    </row>
    <row r="936" spans="1:1" ht="15.75" customHeight="1" x14ac:dyDescent="0.35">
      <c r="A936" s="5"/>
    </row>
    <row r="937" spans="1:1" ht="15.75" customHeight="1" x14ac:dyDescent="0.35">
      <c r="A937" s="5"/>
    </row>
    <row r="938" spans="1:1" ht="15.75" customHeight="1" x14ac:dyDescent="0.35">
      <c r="A938" s="5"/>
    </row>
    <row r="939" spans="1:1" ht="15.75" customHeight="1" x14ac:dyDescent="0.35">
      <c r="A939" s="5"/>
    </row>
    <row r="940" spans="1:1" ht="15.75" customHeight="1" x14ac:dyDescent="0.35">
      <c r="A940" s="5"/>
    </row>
    <row r="941" spans="1:1" ht="15.75" customHeight="1" x14ac:dyDescent="0.35">
      <c r="A941" s="5"/>
    </row>
    <row r="942" spans="1:1" ht="15.75" customHeight="1" x14ac:dyDescent="0.35">
      <c r="A942" s="5"/>
    </row>
    <row r="943" spans="1:1" ht="15.75" customHeight="1" x14ac:dyDescent="0.35">
      <c r="A943" s="5"/>
    </row>
    <row r="944" spans="1:1" ht="15.75" customHeight="1" x14ac:dyDescent="0.35">
      <c r="A944" s="5"/>
    </row>
    <row r="945" spans="1:1" ht="15.75" customHeight="1" x14ac:dyDescent="0.35">
      <c r="A945" s="5"/>
    </row>
    <row r="946" spans="1:1" ht="15.75" customHeight="1" x14ac:dyDescent="0.35">
      <c r="A946" s="5"/>
    </row>
    <row r="947" spans="1:1" ht="15.75" customHeight="1" x14ac:dyDescent="0.35">
      <c r="A947" s="5"/>
    </row>
    <row r="948" spans="1:1" ht="15.75" customHeight="1" x14ac:dyDescent="0.35">
      <c r="A948" s="5"/>
    </row>
    <row r="949" spans="1:1" ht="15.75" customHeight="1" x14ac:dyDescent="0.35">
      <c r="A949" s="5"/>
    </row>
    <row r="950" spans="1:1" ht="15.75" customHeight="1" x14ac:dyDescent="0.35">
      <c r="A950" s="5"/>
    </row>
    <row r="951" spans="1:1" ht="15.75" customHeight="1" x14ac:dyDescent="0.35">
      <c r="A951" s="5"/>
    </row>
    <row r="952" spans="1:1" ht="15.75" customHeight="1" x14ac:dyDescent="0.35">
      <c r="A952" s="5"/>
    </row>
    <row r="953" spans="1:1" ht="15.75" customHeight="1" x14ac:dyDescent="0.35">
      <c r="A953" s="5"/>
    </row>
    <row r="954" spans="1:1" ht="15.75" customHeight="1" x14ac:dyDescent="0.35">
      <c r="A954" s="5"/>
    </row>
    <row r="955" spans="1:1" ht="15.75" customHeight="1" x14ac:dyDescent="0.35">
      <c r="A955" s="5"/>
    </row>
    <row r="956" spans="1:1" ht="15.75" customHeight="1" x14ac:dyDescent="0.35">
      <c r="A956" s="5"/>
    </row>
    <row r="957" spans="1:1" ht="15.75" customHeight="1" x14ac:dyDescent="0.35">
      <c r="A957" s="5"/>
    </row>
    <row r="958" spans="1:1" ht="15.75" customHeight="1" x14ac:dyDescent="0.35">
      <c r="A958" s="5"/>
    </row>
    <row r="959" spans="1:1" ht="15.75" customHeight="1" x14ac:dyDescent="0.35">
      <c r="A959" s="5"/>
    </row>
    <row r="960" spans="1:1" ht="15.75" customHeight="1" x14ac:dyDescent="0.35">
      <c r="A960" s="5"/>
    </row>
    <row r="961" spans="1:1" ht="15.75" customHeight="1" x14ac:dyDescent="0.35">
      <c r="A961" s="5"/>
    </row>
    <row r="962" spans="1:1" ht="15.75" customHeight="1" x14ac:dyDescent="0.35">
      <c r="A962" s="5"/>
    </row>
    <row r="963" spans="1:1" ht="15.75" customHeight="1" x14ac:dyDescent="0.35">
      <c r="A963" s="5"/>
    </row>
    <row r="964" spans="1:1" ht="15.75" customHeight="1" x14ac:dyDescent="0.35">
      <c r="A964" s="5"/>
    </row>
    <row r="965" spans="1:1" ht="15.75" customHeight="1" x14ac:dyDescent="0.35">
      <c r="A965" s="5"/>
    </row>
    <row r="966" spans="1:1" ht="15.75" customHeight="1" x14ac:dyDescent="0.35">
      <c r="A966" s="5"/>
    </row>
    <row r="967" spans="1:1" ht="15.75" customHeight="1" x14ac:dyDescent="0.35">
      <c r="A967" s="5"/>
    </row>
    <row r="968" spans="1:1" ht="15.75" customHeight="1" x14ac:dyDescent="0.35">
      <c r="A968" s="5"/>
    </row>
    <row r="969" spans="1:1" ht="15.75" customHeight="1" x14ac:dyDescent="0.35">
      <c r="A969" s="5"/>
    </row>
    <row r="970" spans="1:1" ht="15.75" customHeight="1" x14ac:dyDescent="0.35">
      <c r="A970" s="5"/>
    </row>
    <row r="971" spans="1:1" ht="15.75" customHeight="1" x14ac:dyDescent="0.35">
      <c r="A971" s="5"/>
    </row>
    <row r="972" spans="1:1" ht="15.75" customHeight="1" x14ac:dyDescent="0.35">
      <c r="A972" s="5"/>
    </row>
    <row r="973" spans="1:1" ht="15.75" customHeight="1" x14ac:dyDescent="0.35">
      <c r="A973" s="5"/>
    </row>
    <row r="974" spans="1:1" ht="15.75" customHeight="1" x14ac:dyDescent="0.35">
      <c r="A974" s="5"/>
    </row>
    <row r="975" spans="1:1" ht="15.75" customHeight="1" x14ac:dyDescent="0.35">
      <c r="A975" s="5"/>
    </row>
    <row r="976" spans="1:1" ht="15.75" customHeight="1" x14ac:dyDescent="0.35">
      <c r="A976" s="5"/>
    </row>
    <row r="977" spans="1:1" ht="15.75" customHeight="1" x14ac:dyDescent="0.35">
      <c r="A977" s="5"/>
    </row>
    <row r="978" spans="1:1" ht="15.75" customHeight="1" x14ac:dyDescent="0.35">
      <c r="A978" s="5"/>
    </row>
    <row r="979" spans="1:1" ht="15.75" customHeight="1" x14ac:dyDescent="0.35">
      <c r="A979" s="5"/>
    </row>
    <row r="980" spans="1:1" ht="15.75" customHeight="1" x14ac:dyDescent="0.35">
      <c r="A980" s="5"/>
    </row>
    <row r="981" spans="1:1" ht="15.75" customHeight="1" x14ac:dyDescent="0.35">
      <c r="A981" s="5"/>
    </row>
    <row r="982" spans="1:1" ht="15.75" customHeight="1" x14ac:dyDescent="0.35">
      <c r="A982" s="5"/>
    </row>
    <row r="983" spans="1:1" ht="15.75" customHeight="1" x14ac:dyDescent="0.35">
      <c r="A983" s="5"/>
    </row>
    <row r="984" spans="1:1" ht="15.75" customHeight="1" x14ac:dyDescent="0.35">
      <c r="A984" s="5"/>
    </row>
    <row r="985" spans="1:1" ht="15.75" customHeight="1" x14ac:dyDescent="0.35">
      <c r="A985" s="5"/>
    </row>
    <row r="986" spans="1:1" ht="15.75" customHeight="1" x14ac:dyDescent="0.35">
      <c r="A986" s="5"/>
    </row>
    <row r="987" spans="1:1" ht="15.75" customHeight="1" x14ac:dyDescent="0.35">
      <c r="A987" s="5"/>
    </row>
    <row r="988" spans="1:1" ht="15.75" customHeight="1" x14ac:dyDescent="0.35">
      <c r="A988" s="5"/>
    </row>
    <row r="989" spans="1:1" ht="15.75" customHeight="1" x14ac:dyDescent="0.35">
      <c r="A989" s="5"/>
    </row>
    <row r="990" spans="1:1" ht="15.75" customHeight="1" x14ac:dyDescent="0.35">
      <c r="A990" s="5"/>
    </row>
    <row r="991" spans="1:1" ht="15.75" customHeight="1" x14ac:dyDescent="0.35">
      <c r="A991" s="5"/>
    </row>
    <row r="992" spans="1:1" ht="15.75" customHeight="1" x14ac:dyDescent="0.35">
      <c r="A992" s="5"/>
    </row>
    <row r="993" spans="1:1" ht="15.75" customHeight="1" x14ac:dyDescent="0.35">
      <c r="A993" s="5"/>
    </row>
    <row r="994" spans="1:1" ht="15.75" customHeight="1" x14ac:dyDescent="0.35">
      <c r="A994" s="5"/>
    </row>
    <row r="995" spans="1:1" ht="15.75" customHeight="1" x14ac:dyDescent="0.35">
      <c r="A995" s="5"/>
    </row>
    <row r="996" spans="1:1" ht="15.75" customHeight="1" x14ac:dyDescent="0.35">
      <c r="A996" s="5"/>
    </row>
    <row r="997" spans="1:1" ht="15.75" customHeight="1" x14ac:dyDescent="0.35">
      <c r="A997" s="5"/>
    </row>
    <row r="998" spans="1:1" ht="15.75" customHeight="1" x14ac:dyDescent="0.35">
      <c r="A998" s="5"/>
    </row>
    <row r="999" spans="1:1" ht="15.75" customHeight="1" x14ac:dyDescent="0.35">
      <c r="A999" s="5"/>
    </row>
    <row r="1000" spans="1:1" ht="15.75" customHeight="1" x14ac:dyDescent="0.35">
      <c r="A1000" s="5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defaultColWidth="14.453125" defaultRowHeight="15" customHeight="1" x14ac:dyDescent="0.35"/>
  <cols>
    <col min="1" max="1" width="6.7265625" customWidth="1"/>
    <col min="2" max="2" width="21" customWidth="1"/>
    <col min="3" max="3" width="49" customWidth="1"/>
    <col min="4" max="4" width="15.26953125" customWidth="1"/>
    <col min="5" max="5" width="7" customWidth="1"/>
    <col min="6" max="26" width="8.7265625" customWidth="1"/>
  </cols>
  <sheetData>
    <row r="1" spans="1:5" ht="14.5" x14ac:dyDescent="0.35">
      <c r="A1" s="2" t="s">
        <v>1</v>
      </c>
      <c r="B1" s="2" t="s">
        <v>2</v>
      </c>
      <c r="C1" s="2" t="s">
        <v>144</v>
      </c>
      <c r="D1" s="2" t="s">
        <v>145</v>
      </c>
      <c r="E1" s="2" t="s">
        <v>146</v>
      </c>
    </row>
    <row r="2" spans="1:5" ht="14.5" x14ac:dyDescent="0.35">
      <c r="A2" s="4" t="s">
        <v>78</v>
      </c>
      <c r="B2" s="4" t="s">
        <v>79</v>
      </c>
      <c r="C2" s="4" t="s">
        <v>147</v>
      </c>
      <c r="D2" s="4" t="s">
        <v>148</v>
      </c>
      <c r="E2" s="4">
        <v>976.36</v>
      </c>
    </row>
    <row r="3" spans="1:5" ht="14.5" x14ac:dyDescent="0.35">
      <c r="A3" s="4" t="s">
        <v>60</v>
      </c>
      <c r="B3" s="4" t="s">
        <v>24</v>
      </c>
      <c r="C3" s="4" t="s">
        <v>149</v>
      </c>
      <c r="D3" s="4" t="s">
        <v>150</v>
      </c>
      <c r="E3" s="4">
        <v>652.16999999999996</v>
      </c>
    </row>
    <row r="4" spans="1:5" ht="14.5" x14ac:dyDescent="0.35">
      <c r="A4" s="4" t="s">
        <v>70</v>
      </c>
      <c r="B4" s="4" t="s">
        <v>52</v>
      </c>
      <c r="C4" s="4" t="s">
        <v>151</v>
      </c>
      <c r="D4" s="4" t="s">
        <v>152</v>
      </c>
      <c r="E4" s="4">
        <v>523.33000000000004</v>
      </c>
    </row>
    <row r="5" spans="1:5" ht="14.5" x14ac:dyDescent="0.35">
      <c r="A5" s="4" t="s">
        <v>10</v>
      </c>
      <c r="B5" s="4" t="s">
        <v>8</v>
      </c>
      <c r="C5" s="4" t="s">
        <v>153</v>
      </c>
      <c r="D5" s="4" t="s">
        <v>150</v>
      </c>
      <c r="E5" s="4">
        <v>101.03</v>
      </c>
    </row>
    <row r="6" spans="1:5" ht="14.5" x14ac:dyDescent="0.35">
      <c r="A6" s="4" t="s">
        <v>89</v>
      </c>
      <c r="B6" s="4" t="s">
        <v>79</v>
      </c>
      <c r="C6" s="4" t="s">
        <v>154</v>
      </c>
      <c r="D6" s="4" t="s">
        <v>155</v>
      </c>
      <c r="E6" s="4">
        <v>389.93</v>
      </c>
    </row>
    <row r="7" spans="1:5" ht="14.5" x14ac:dyDescent="0.35">
      <c r="A7" s="4" t="s">
        <v>7</v>
      </c>
      <c r="B7" s="4" t="s">
        <v>8</v>
      </c>
      <c r="C7" s="4" t="s">
        <v>156</v>
      </c>
      <c r="D7" s="4" t="s">
        <v>148</v>
      </c>
      <c r="E7" s="4">
        <v>238.68</v>
      </c>
    </row>
    <row r="8" spans="1:5" ht="14.5" x14ac:dyDescent="0.35">
      <c r="A8" s="4" t="s">
        <v>65</v>
      </c>
      <c r="B8" s="4" t="s">
        <v>5</v>
      </c>
      <c r="C8" s="4" t="s">
        <v>157</v>
      </c>
      <c r="D8" s="4" t="s">
        <v>158</v>
      </c>
      <c r="E8" s="4">
        <v>395.54</v>
      </c>
    </row>
    <row r="9" spans="1:5" ht="14.5" x14ac:dyDescent="0.35">
      <c r="A9" s="4" t="s">
        <v>67</v>
      </c>
      <c r="B9" s="4" t="s">
        <v>39</v>
      </c>
      <c r="C9" s="4" t="s">
        <v>159</v>
      </c>
      <c r="D9" s="4" t="s">
        <v>155</v>
      </c>
      <c r="E9" s="4">
        <v>97.2</v>
      </c>
    </row>
    <row r="10" spans="1:5" ht="14.5" x14ac:dyDescent="0.35">
      <c r="A10" s="4" t="s">
        <v>125</v>
      </c>
      <c r="B10" s="4" t="s">
        <v>20</v>
      </c>
      <c r="C10" s="4" t="s">
        <v>156</v>
      </c>
      <c r="D10" s="4" t="s">
        <v>152</v>
      </c>
      <c r="E10" s="4">
        <v>938.68</v>
      </c>
    </row>
    <row r="11" spans="1:5" ht="14.5" x14ac:dyDescent="0.35">
      <c r="A11" s="4" t="s">
        <v>47</v>
      </c>
      <c r="B11" s="4" t="s">
        <v>22</v>
      </c>
      <c r="C11" s="4" t="s">
        <v>149</v>
      </c>
      <c r="D11" s="4" t="s">
        <v>160</v>
      </c>
      <c r="E11" s="4">
        <v>536.84</v>
      </c>
    </row>
    <row r="12" spans="1:5" ht="14.5" x14ac:dyDescent="0.35">
      <c r="A12" s="4" t="s">
        <v>63</v>
      </c>
      <c r="B12" s="4" t="s">
        <v>26</v>
      </c>
      <c r="C12" s="4" t="s">
        <v>161</v>
      </c>
      <c r="D12" s="4" t="s">
        <v>160</v>
      </c>
      <c r="E12" s="4">
        <v>482.7</v>
      </c>
    </row>
    <row r="13" spans="1:5" ht="14.5" x14ac:dyDescent="0.35">
      <c r="A13" s="4" t="s">
        <v>34</v>
      </c>
      <c r="B13" s="4" t="s">
        <v>28</v>
      </c>
      <c r="C13" s="4" t="s">
        <v>156</v>
      </c>
      <c r="D13" s="4" t="s">
        <v>160</v>
      </c>
      <c r="E13" s="4">
        <v>756.15</v>
      </c>
    </row>
    <row r="14" spans="1:5" ht="14.5" x14ac:dyDescent="0.35">
      <c r="A14" s="4" t="s">
        <v>129</v>
      </c>
      <c r="B14" s="4" t="s">
        <v>41</v>
      </c>
      <c r="C14" s="4" t="s">
        <v>162</v>
      </c>
      <c r="D14" s="4" t="s">
        <v>150</v>
      </c>
      <c r="E14" s="4">
        <v>966.44</v>
      </c>
    </row>
    <row r="15" spans="1:5" ht="14.5" x14ac:dyDescent="0.35">
      <c r="A15" s="4" t="s">
        <v>110</v>
      </c>
      <c r="B15" s="4" t="s">
        <v>8</v>
      </c>
      <c r="C15" s="4" t="s">
        <v>161</v>
      </c>
      <c r="D15" s="4" t="s">
        <v>148</v>
      </c>
      <c r="E15" s="4">
        <v>223.56</v>
      </c>
    </row>
    <row r="16" spans="1:5" ht="14.5" x14ac:dyDescent="0.35">
      <c r="A16" s="4" t="s">
        <v>119</v>
      </c>
      <c r="B16" s="4" t="s">
        <v>16</v>
      </c>
      <c r="C16" s="4" t="s">
        <v>149</v>
      </c>
      <c r="D16" s="4" t="s">
        <v>148</v>
      </c>
      <c r="E16" s="4">
        <v>257.3</v>
      </c>
    </row>
    <row r="17" spans="1:5" ht="14.5" x14ac:dyDescent="0.35">
      <c r="A17" s="4" t="s">
        <v>98</v>
      </c>
      <c r="B17" s="4" t="s">
        <v>22</v>
      </c>
      <c r="C17" s="4" t="s">
        <v>163</v>
      </c>
      <c r="D17" s="4" t="s">
        <v>160</v>
      </c>
      <c r="E17" s="4">
        <v>381.51</v>
      </c>
    </row>
    <row r="18" spans="1:5" ht="14.5" x14ac:dyDescent="0.35">
      <c r="A18" s="4" t="s">
        <v>40</v>
      </c>
      <c r="B18" s="4" t="s">
        <v>41</v>
      </c>
      <c r="C18" s="4" t="s">
        <v>164</v>
      </c>
      <c r="D18" s="4" t="s">
        <v>155</v>
      </c>
      <c r="E18" s="4">
        <v>837.9</v>
      </c>
    </row>
    <row r="19" spans="1:5" ht="14.5" x14ac:dyDescent="0.35">
      <c r="A19" s="4" t="s">
        <v>32</v>
      </c>
      <c r="B19" s="4" t="s">
        <v>22</v>
      </c>
      <c r="C19" s="4" t="s">
        <v>165</v>
      </c>
      <c r="D19" s="4" t="s">
        <v>150</v>
      </c>
      <c r="E19" s="4">
        <v>715.01</v>
      </c>
    </row>
    <row r="20" spans="1:5" ht="14.5" x14ac:dyDescent="0.35">
      <c r="A20" s="4" t="s">
        <v>73</v>
      </c>
      <c r="B20" s="4" t="s">
        <v>13</v>
      </c>
      <c r="C20" s="4" t="s">
        <v>156</v>
      </c>
      <c r="D20" s="4" t="s">
        <v>150</v>
      </c>
      <c r="E20" s="4">
        <v>393.32</v>
      </c>
    </row>
    <row r="21" spans="1:5" ht="15.75" customHeight="1" x14ac:dyDescent="0.35">
      <c r="A21" s="4" t="s">
        <v>59</v>
      </c>
      <c r="B21" s="4" t="s">
        <v>16</v>
      </c>
      <c r="C21" s="4" t="s">
        <v>165</v>
      </c>
      <c r="D21" s="4" t="s">
        <v>158</v>
      </c>
      <c r="E21" s="4">
        <v>240.69</v>
      </c>
    </row>
    <row r="22" spans="1:5" ht="15.75" customHeight="1" x14ac:dyDescent="0.35">
      <c r="A22" s="4" t="s">
        <v>38</v>
      </c>
      <c r="B22" s="4" t="s">
        <v>39</v>
      </c>
      <c r="C22" s="4" t="s">
        <v>161</v>
      </c>
      <c r="D22" s="4" t="s">
        <v>166</v>
      </c>
      <c r="E22" s="4">
        <v>477.8</v>
      </c>
    </row>
    <row r="23" spans="1:5" ht="15.75" customHeight="1" x14ac:dyDescent="0.35">
      <c r="A23" s="4" t="s">
        <v>30</v>
      </c>
      <c r="B23" s="4" t="s">
        <v>31</v>
      </c>
      <c r="C23" s="4" t="s">
        <v>157</v>
      </c>
      <c r="D23" s="4" t="s">
        <v>150</v>
      </c>
      <c r="E23" s="4">
        <v>469.5</v>
      </c>
    </row>
    <row r="24" spans="1:5" ht="15.75" customHeight="1" x14ac:dyDescent="0.35">
      <c r="A24" s="4" t="s">
        <v>116</v>
      </c>
      <c r="B24" s="4" t="s">
        <v>82</v>
      </c>
      <c r="C24" s="4" t="s">
        <v>167</v>
      </c>
      <c r="D24" s="4" t="s">
        <v>152</v>
      </c>
      <c r="E24" s="4">
        <v>435.65</v>
      </c>
    </row>
    <row r="25" spans="1:5" ht="15.75" customHeight="1" x14ac:dyDescent="0.35">
      <c r="A25" s="4" t="s">
        <v>36</v>
      </c>
      <c r="B25" s="4" t="s">
        <v>22</v>
      </c>
      <c r="C25" s="4" t="s">
        <v>168</v>
      </c>
      <c r="D25" s="4" t="s">
        <v>150</v>
      </c>
      <c r="E25" s="4">
        <v>491.38</v>
      </c>
    </row>
    <row r="26" spans="1:5" ht="15.75" customHeight="1" x14ac:dyDescent="0.35">
      <c r="A26" s="4" t="s">
        <v>99</v>
      </c>
      <c r="B26" s="4" t="s">
        <v>16</v>
      </c>
      <c r="C26" s="4" t="s">
        <v>169</v>
      </c>
      <c r="D26" s="4" t="s">
        <v>148</v>
      </c>
      <c r="E26" s="4">
        <v>250.84</v>
      </c>
    </row>
    <row r="27" spans="1:5" ht="15.75" customHeight="1" x14ac:dyDescent="0.35">
      <c r="A27" s="4" t="s">
        <v>4</v>
      </c>
      <c r="B27" s="4" t="s">
        <v>5</v>
      </c>
      <c r="C27" s="4" t="s">
        <v>170</v>
      </c>
      <c r="D27" s="4" t="s">
        <v>158</v>
      </c>
      <c r="E27" s="4">
        <v>802.36</v>
      </c>
    </row>
    <row r="28" spans="1:5" ht="15.75" customHeight="1" x14ac:dyDescent="0.35">
      <c r="A28" s="4" t="s">
        <v>135</v>
      </c>
      <c r="B28" s="4" t="s">
        <v>62</v>
      </c>
      <c r="C28" s="4" t="s">
        <v>169</v>
      </c>
      <c r="D28" s="4" t="s">
        <v>166</v>
      </c>
      <c r="E28" s="4">
        <v>167.32</v>
      </c>
    </row>
    <row r="29" spans="1:5" ht="15.75" customHeight="1" x14ac:dyDescent="0.35">
      <c r="A29" s="4" t="s">
        <v>23</v>
      </c>
      <c r="B29" s="4" t="s">
        <v>24</v>
      </c>
      <c r="C29" s="4" t="s">
        <v>153</v>
      </c>
      <c r="D29" s="4" t="s">
        <v>155</v>
      </c>
      <c r="E29" s="4">
        <v>120.79</v>
      </c>
    </row>
    <row r="30" spans="1:5" ht="15.75" customHeight="1" x14ac:dyDescent="0.35">
      <c r="A30" s="4" t="s">
        <v>71</v>
      </c>
      <c r="B30" s="4" t="s">
        <v>20</v>
      </c>
      <c r="C30" s="4" t="s">
        <v>162</v>
      </c>
      <c r="D30" s="4" t="s">
        <v>150</v>
      </c>
      <c r="E30" s="4">
        <v>210.72</v>
      </c>
    </row>
    <row r="31" spans="1:5" ht="15.75" customHeight="1" x14ac:dyDescent="0.35">
      <c r="A31" s="4" t="s">
        <v>107</v>
      </c>
      <c r="B31" s="4" t="s">
        <v>24</v>
      </c>
      <c r="C31" s="4" t="s">
        <v>153</v>
      </c>
      <c r="D31" s="4" t="s">
        <v>158</v>
      </c>
      <c r="E31" s="4">
        <v>270.27</v>
      </c>
    </row>
    <row r="32" spans="1:5" ht="15.75" customHeight="1" x14ac:dyDescent="0.35">
      <c r="A32" s="4" t="s">
        <v>136</v>
      </c>
      <c r="B32" s="4" t="s">
        <v>79</v>
      </c>
      <c r="C32" s="4" t="s">
        <v>171</v>
      </c>
      <c r="D32" s="4" t="s">
        <v>152</v>
      </c>
      <c r="E32" s="4">
        <v>711.1</v>
      </c>
    </row>
    <row r="33" spans="1:5" ht="15.75" customHeight="1" x14ac:dyDescent="0.35">
      <c r="A33" s="4" t="s">
        <v>88</v>
      </c>
      <c r="B33" s="4" t="s">
        <v>75</v>
      </c>
      <c r="C33" s="4" t="s">
        <v>163</v>
      </c>
      <c r="D33" s="4" t="s">
        <v>150</v>
      </c>
      <c r="E33" s="4">
        <v>823.71</v>
      </c>
    </row>
    <row r="34" spans="1:5" ht="15.75" customHeight="1" x14ac:dyDescent="0.35">
      <c r="A34" s="4" t="s">
        <v>14</v>
      </c>
      <c r="B34" s="4" t="s">
        <v>8</v>
      </c>
      <c r="C34" s="4" t="s">
        <v>167</v>
      </c>
      <c r="D34" s="4" t="s">
        <v>152</v>
      </c>
      <c r="E34" s="4">
        <v>107.76</v>
      </c>
    </row>
    <row r="35" spans="1:5" ht="15.75" customHeight="1" x14ac:dyDescent="0.35">
      <c r="A35" s="4" t="s">
        <v>120</v>
      </c>
      <c r="B35" s="4" t="s">
        <v>26</v>
      </c>
      <c r="C35" s="4" t="s">
        <v>159</v>
      </c>
      <c r="D35" s="4" t="s">
        <v>155</v>
      </c>
      <c r="E35" s="4">
        <v>653.64</v>
      </c>
    </row>
    <row r="36" spans="1:5" ht="15.75" customHeight="1" x14ac:dyDescent="0.35">
      <c r="A36" s="4" t="s">
        <v>133</v>
      </c>
      <c r="B36" s="4" t="s">
        <v>24</v>
      </c>
      <c r="C36" s="4" t="s">
        <v>147</v>
      </c>
      <c r="D36" s="4" t="s">
        <v>155</v>
      </c>
      <c r="E36" s="4">
        <v>252.85</v>
      </c>
    </row>
    <row r="37" spans="1:5" ht="15.75" customHeight="1" x14ac:dyDescent="0.35">
      <c r="A37" s="4" t="s">
        <v>29</v>
      </c>
      <c r="B37" s="4" t="s">
        <v>16</v>
      </c>
      <c r="C37" s="4" t="s">
        <v>154</v>
      </c>
      <c r="D37" s="4" t="s">
        <v>152</v>
      </c>
      <c r="E37" s="4">
        <v>775.44</v>
      </c>
    </row>
    <row r="38" spans="1:5" ht="15.75" customHeight="1" x14ac:dyDescent="0.35">
      <c r="A38" s="4" t="s">
        <v>12</v>
      </c>
      <c r="B38" s="4" t="s">
        <v>13</v>
      </c>
      <c r="C38" s="4" t="s">
        <v>157</v>
      </c>
      <c r="D38" s="4" t="s">
        <v>158</v>
      </c>
      <c r="E38" s="4">
        <v>200.74</v>
      </c>
    </row>
    <row r="39" spans="1:5" ht="15.75" customHeight="1" x14ac:dyDescent="0.35">
      <c r="A39" s="4" t="s">
        <v>127</v>
      </c>
      <c r="B39" s="4" t="s">
        <v>22</v>
      </c>
      <c r="C39" s="4" t="s">
        <v>163</v>
      </c>
      <c r="D39" s="4" t="s">
        <v>166</v>
      </c>
      <c r="E39" s="4">
        <v>347.43</v>
      </c>
    </row>
    <row r="40" spans="1:5" ht="15.75" customHeight="1" x14ac:dyDescent="0.35">
      <c r="A40" s="4" t="s">
        <v>126</v>
      </c>
      <c r="B40" s="4" t="s">
        <v>26</v>
      </c>
      <c r="C40" s="4" t="s">
        <v>163</v>
      </c>
      <c r="D40" s="4" t="s">
        <v>148</v>
      </c>
      <c r="E40" s="4">
        <v>705.93</v>
      </c>
    </row>
    <row r="41" spans="1:5" ht="15.75" customHeight="1" x14ac:dyDescent="0.35">
      <c r="A41" s="4" t="s">
        <v>130</v>
      </c>
      <c r="B41" s="4" t="s">
        <v>52</v>
      </c>
      <c r="C41" s="4" t="s">
        <v>151</v>
      </c>
      <c r="D41" s="4" t="s">
        <v>166</v>
      </c>
      <c r="E41" s="4">
        <v>365.28</v>
      </c>
    </row>
    <row r="42" spans="1:5" ht="15.75" customHeight="1" x14ac:dyDescent="0.35">
      <c r="A42" s="4" t="s">
        <v>76</v>
      </c>
      <c r="B42" s="4" t="s">
        <v>22</v>
      </c>
      <c r="C42" s="4" t="s">
        <v>172</v>
      </c>
      <c r="D42" s="4" t="s">
        <v>155</v>
      </c>
      <c r="E42" s="4">
        <v>536.77</v>
      </c>
    </row>
    <row r="43" spans="1:5" ht="15.75" customHeight="1" x14ac:dyDescent="0.35">
      <c r="A43" s="4" t="s">
        <v>112</v>
      </c>
      <c r="B43" s="4" t="s">
        <v>31</v>
      </c>
      <c r="C43" s="4" t="s">
        <v>163</v>
      </c>
      <c r="D43" s="4" t="s">
        <v>148</v>
      </c>
      <c r="E43" s="4">
        <v>877.23</v>
      </c>
    </row>
    <row r="44" spans="1:5" ht="15.75" customHeight="1" x14ac:dyDescent="0.35">
      <c r="A44" s="4" t="s">
        <v>139</v>
      </c>
      <c r="B44" s="4" t="s">
        <v>109</v>
      </c>
      <c r="C44" s="4" t="s">
        <v>163</v>
      </c>
      <c r="D44" s="4" t="s">
        <v>158</v>
      </c>
      <c r="E44" s="4">
        <v>379.85</v>
      </c>
    </row>
    <row r="45" spans="1:5" ht="15.75" customHeight="1" x14ac:dyDescent="0.35">
      <c r="A45" s="4" t="s">
        <v>101</v>
      </c>
      <c r="B45" s="4" t="s">
        <v>24</v>
      </c>
      <c r="C45" s="4" t="s">
        <v>149</v>
      </c>
      <c r="D45" s="4" t="s">
        <v>155</v>
      </c>
      <c r="E45" s="4">
        <v>991.03</v>
      </c>
    </row>
    <row r="46" spans="1:5" ht="15.75" customHeight="1" x14ac:dyDescent="0.35">
      <c r="A46" s="4" t="s">
        <v>97</v>
      </c>
      <c r="B46" s="4" t="s">
        <v>52</v>
      </c>
      <c r="C46" s="4" t="s">
        <v>161</v>
      </c>
      <c r="D46" s="4" t="s">
        <v>155</v>
      </c>
      <c r="E46" s="4">
        <v>174.26</v>
      </c>
    </row>
    <row r="47" spans="1:5" ht="15.75" customHeight="1" x14ac:dyDescent="0.35">
      <c r="A47" s="4" t="s">
        <v>15</v>
      </c>
      <c r="B47" s="4" t="s">
        <v>16</v>
      </c>
      <c r="C47" s="4" t="s">
        <v>173</v>
      </c>
      <c r="D47" s="4" t="s">
        <v>160</v>
      </c>
      <c r="E47" s="4">
        <v>339.98</v>
      </c>
    </row>
    <row r="48" spans="1:5" ht="15.75" customHeight="1" x14ac:dyDescent="0.35">
      <c r="A48" s="4" t="s">
        <v>106</v>
      </c>
      <c r="B48" s="4" t="s">
        <v>50</v>
      </c>
      <c r="C48" s="4" t="s">
        <v>149</v>
      </c>
      <c r="D48" s="4" t="s">
        <v>148</v>
      </c>
      <c r="E48" s="4">
        <v>143.75</v>
      </c>
    </row>
    <row r="49" spans="1:5" ht="15.75" customHeight="1" x14ac:dyDescent="0.35">
      <c r="A49" s="4" t="s">
        <v>142</v>
      </c>
      <c r="B49" s="4" t="s">
        <v>5</v>
      </c>
      <c r="C49" s="4" t="s">
        <v>161</v>
      </c>
      <c r="D49" s="4" t="s">
        <v>166</v>
      </c>
      <c r="E49" s="4">
        <v>124.79</v>
      </c>
    </row>
    <row r="50" spans="1:5" ht="15.75" customHeight="1" x14ac:dyDescent="0.35">
      <c r="A50" s="4" t="s">
        <v>21</v>
      </c>
      <c r="B50" s="4" t="s">
        <v>22</v>
      </c>
      <c r="C50" s="4" t="s">
        <v>164</v>
      </c>
      <c r="D50" s="4" t="s">
        <v>158</v>
      </c>
      <c r="E50" s="4">
        <v>539.37</v>
      </c>
    </row>
    <row r="51" spans="1:5" ht="15.75" customHeight="1" x14ac:dyDescent="0.35">
      <c r="A51" s="4" t="s">
        <v>6</v>
      </c>
      <c r="B51" s="4" t="s">
        <v>5</v>
      </c>
      <c r="C51" s="4" t="s">
        <v>169</v>
      </c>
      <c r="D51" s="4" t="s">
        <v>148</v>
      </c>
      <c r="E51" s="4">
        <v>121.42</v>
      </c>
    </row>
    <row r="52" spans="1:5" ht="15.75" customHeight="1" x14ac:dyDescent="0.35">
      <c r="A52" s="4" t="s">
        <v>54</v>
      </c>
      <c r="B52" s="4" t="s">
        <v>22</v>
      </c>
      <c r="C52" s="4" t="s">
        <v>169</v>
      </c>
      <c r="D52" s="4" t="s">
        <v>152</v>
      </c>
      <c r="E52" s="4">
        <v>188.17</v>
      </c>
    </row>
    <row r="53" spans="1:5" ht="15.75" customHeight="1" x14ac:dyDescent="0.35">
      <c r="A53" s="4" t="s">
        <v>11</v>
      </c>
      <c r="B53" s="4" t="s">
        <v>5</v>
      </c>
      <c r="C53" s="4" t="s">
        <v>170</v>
      </c>
      <c r="D53" s="4" t="s">
        <v>160</v>
      </c>
      <c r="E53" s="4">
        <v>216.51</v>
      </c>
    </row>
    <row r="54" spans="1:5" ht="15.75" customHeight="1" x14ac:dyDescent="0.35">
      <c r="A54" s="4" t="s">
        <v>55</v>
      </c>
      <c r="B54" s="4" t="s">
        <v>24</v>
      </c>
      <c r="C54" s="4" t="s">
        <v>163</v>
      </c>
      <c r="D54" s="4" t="s">
        <v>166</v>
      </c>
      <c r="E54" s="4">
        <v>919.26</v>
      </c>
    </row>
    <row r="55" spans="1:5" ht="15.75" customHeight="1" x14ac:dyDescent="0.35">
      <c r="A55" s="4" t="s">
        <v>35</v>
      </c>
      <c r="B55" s="4" t="s">
        <v>8</v>
      </c>
      <c r="C55" s="4" t="s">
        <v>156</v>
      </c>
      <c r="D55" s="4" t="s">
        <v>148</v>
      </c>
      <c r="E55" s="4">
        <v>504.18</v>
      </c>
    </row>
    <row r="56" spans="1:5" ht="15.75" customHeight="1" x14ac:dyDescent="0.35">
      <c r="A56" s="4" t="s">
        <v>25</v>
      </c>
      <c r="B56" s="4" t="s">
        <v>26</v>
      </c>
      <c r="C56" s="4" t="s">
        <v>156</v>
      </c>
      <c r="D56" s="4" t="s">
        <v>166</v>
      </c>
      <c r="E56" s="4">
        <v>793.19</v>
      </c>
    </row>
    <row r="57" spans="1:5" ht="15.75" customHeight="1" x14ac:dyDescent="0.35">
      <c r="A57" s="4" t="s">
        <v>121</v>
      </c>
      <c r="B57" s="4" t="s">
        <v>50</v>
      </c>
      <c r="C57" s="4" t="s">
        <v>162</v>
      </c>
      <c r="D57" s="4" t="s">
        <v>158</v>
      </c>
      <c r="E57" s="4">
        <v>542.75</v>
      </c>
    </row>
    <row r="58" spans="1:5" ht="15.75" customHeight="1" x14ac:dyDescent="0.35">
      <c r="A58" s="4" t="s">
        <v>96</v>
      </c>
      <c r="B58" s="4" t="s">
        <v>50</v>
      </c>
      <c r="C58" s="4" t="s">
        <v>147</v>
      </c>
      <c r="D58" s="4" t="s">
        <v>150</v>
      </c>
      <c r="E58" s="4">
        <v>363.9</v>
      </c>
    </row>
    <row r="59" spans="1:5" ht="15.75" customHeight="1" x14ac:dyDescent="0.35">
      <c r="A59" s="4" t="s">
        <v>81</v>
      </c>
      <c r="B59" s="4" t="s">
        <v>82</v>
      </c>
      <c r="C59" s="4" t="s">
        <v>167</v>
      </c>
      <c r="D59" s="4" t="s">
        <v>150</v>
      </c>
      <c r="E59" s="4">
        <v>584.16999999999996</v>
      </c>
    </row>
    <row r="60" spans="1:5" ht="15.75" customHeight="1" x14ac:dyDescent="0.35">
      <c r="A60" s="4" t="s">
        <v>17</v>
      </c>
      <c r="B60" s="4" t="s">
        <v>16</v>
      </c>
      <c r="C60" s="4" t="s">
        <v>161</v>
      </c>
      <c r="D60" s="4" t="s">
        <v>148</v>
      </c>
      <c r="E60" s="4">
        <v>820.78</v>
      </c>
    </row>
    <row r="61" spans="1:5" ht="15.75" customHeight="1" x14ac:dyDescent="0.35">
      <c r="A61" s="4" t="s">
        <v>43</v>
      </c>
      <c r="B61" s="4" t="s">
        <v>16</v>
      </c>
      <c r="C61" s="4" t="s">
        <v>163</v>
      </c>
      <c r="D61" s="4" t="s">
        <v>148</v>
      </c>
      <c r="E61" s="4">
        <v>92.41</v>
      </c>
    </row>
    <row r="62" spans="1:5" ht="15.75" customHeight="1" x14ac:dyDescent="0.35">
      <c r="A62" s="4" t="s">
        <v>45</v>
      </c>
      <c r="B62" s="4" t="s">
        <v>24</v>
      </c>
      <c r="C62" s="4" t="s">
        <v>157</v>
      </c>
      <c r="D62" s="4" t="s">
        <v>150</v>
      </c>
      <c r="E62" s="4">
        <v>977.6</v>
      </c>
    </row>
    <row r="63" spans="1:5" ht="15.75" customHeight="1" x14ac:dyDescent="0.35">
      <c r="A63" s="4" t="s">
        <v>118</v>
      </c>
      <c r="B63" s="4" t="s">
        <v>52</v>
      </c>
      <c r="C63" s="4" t="s">
        <v>173</v>
      </c>
      <c r="D63" s="4" t="s">
        <v>152</v>
      </c>
      <c r="E63" s="4">
        <v>580.80999999999995</v>
      </c>
    </row>
    <row r="64" spans="1:5" ht="15.75" customHeight="1" x14ac:dyDescent="0.35">
      <c r="A64" s="4" t="s">
        <v>117</v>
      </c>
      <c r="B64" s="4" t="s">
        <v>28</v>
      </c>
      <c r="C64" s="4" t="s">
        <v>168</v>
      </c>
      <c r="D64" s="4" t="s">
        <v>166</v>
      </c>
      <c r="E64" s="4">
        <v>383.87</v>
      </c>
    </row>
    <row r="65" spans="1:5" ht="15.75" customHeight="1" x14ac:dyDescent="0.35">
      <c r="A65" s="4" t="s">
        <v>53</v>
      </c>
      <c r="B65" s="4" t="s">
        <v>50</v>
      </c>
      <c r="C65" s="4" t="s">
        <v>154</v>
      </c>
      <c r="D65" s="4" t="s">
        <v>166</v>
      </c>
      <c r="E65" s="4">
        <v>723.8</v>
      </c>
    </row>
    <row r="66" spans="1:5" ht="15.75" customHeight="1" x14ac:dyDescent="0.35">
      <c r="A66" s="4" t="s">
        <v>72</v>
      </c>
      <c r="B66" s="4" t="s">
        <v>13</v>
      </c>
      <c r="C66" s="4" t="s">
        <v>159</v>
      </c>
      <c r="D66" s="4" t="s">
        <v>166</v>
      </c>
      <c r="E66" s="4">
        <v>503.07</v>
      </c>
    </row>
    <row r="67" spans="1:5" ht="15.75" customHeight="1" x14ac:dyDescent="0.35">
      <c r="A67" s="4" t="s">
        <v>64</v>
      </c>
      <c r="B67" s="4" t="s">
        <v>41</v>
      </c>
      <c r="C67" s="4" t="s">
        <v>173</v>
      </c>
      <c r="D67" s="4" t="s">
        <v>150</v>
      </c>
      <c r="E67" s="4">
        <v>742.3</v>
      </c>
    </row>
    <row r="68" spans="1:5" ht="15.75" customHeight="1" x14ac:dyDescent="0.35">
      <c r="A68" s="4" t="s">
        <v>37</v>
      </c>
      <c r="B68" s="4" t="s">
        <v>8</v>
      </c>
      <c r="C68" s="4" t="s">
        <v>156</v>
      </c>
      <c r="D68" s="4" t="s">
        <v>160</v>
      </c>
      <c r="E68" s="4">
        <v>506.5</v>
      </c>
    </row>
    <row r="69" spans="1:5" ht="15.75" customHeight="1" x14ac:dyDescent="0.35">
      <c r="A69" s="4" t="s">
        <v>57</v>
      </c>
      <c r="B69" s="4" t="s">
        <v>8</v>
      </c>
      <c r="C69" s="4" t="s">
        <v>156</v>
      </c>
      <c r="D69" s="4" t="s">
        <v>160</v>
      </c>
      <c r="E69" s="4">
        <v>863.63</v>
      </c>
    </row>
    <row r="70" spans="1:5" ht="15.75" customHeight="1" x14ac:dyDescent="0.35">
      <c r="A70" s="4" t="s">
        <v>9</v>
      </c>
      <c r="B70" s="4" t="s">
        <v>8</v>
      </c>
      <c r="C70" s="4" t="s">
        <v>147</v>
      </c>
      <c r="D70" s="4" t="s">
        <v>166</v>
      </c>
      <c r="E70" s="4">
        <v>577.42999999999995</v>
      </c>
    </row>
    <row r="71" spans="1:5" ht="15.75" customHeight="1" x14ac:dyDescent="0.35">
      <c r="A71" s="4" t="s">
        <v>68</v>
      </c>
      <c r="B71" s="4" t="s">
        <v>62</v>
      </c>
      <c r="C71" s="4" t="s">
        <v>147</v>
      </c>
      <c r="D71" s="4" t="s">
        <v>158</v>
      </c>
      <c r="E71" s="4">
        <v>588.87</v>
      </c>
    </row>
    <row r="72" spans="1:5" ht="15.75" customHeight="1" x14ac:dyDescent="0.35">
      <c r="A72" s="4" t="s">
        <v>138</v>
      </c>
      <c r="B72" s="4" t="s">
        <v>85</v>
      </c>
      <c r="C72" s="4" t="s">
        <v>173</v>
      </c>
      <c r="D72" s="4" t="s">
        <v>155</v>
      </c>
      <c r="E72" s="4">
        <v>741.36</v>
      </c>
    </row>
    <row r="73" spans="1:5" ht="15.75" customHeight="1" x14ac:dyDescent="0.35">
      <c r="A73" s="4" t="s">
        <v>49</v>
      </c>
      <c r="B73" s="4" t="s">
        <v>50</v>
      </c>
      <c r="C73" s="4" t="s">
        <v>157</v>
      </c>
      <c r="D73" s="4" t="s">
        <v>166</v>
      </c>
      <c r="E73" s="4">
        <v>89.57</v>
      </c>
    </row>
    <row r="74" spans="1:5" ht="15.75" customHeight="1" x14ac:dyDescent="0.35">
      <c r="A74" s="4" t="s">
        <v>42</v>
      </c>
      <c r="B74" s="4" t="s">
        <v>24</v>
      </c>
      <c r="C74" s="4" t="s">
        <v>151</v>
      </c>
      <c r="D74" s="4" t="s">
        <v>155</v>
      </c>
      <c r="E74" s="4">
        <v>560.16</v>
      </c>
    </row>
    <row r="75" spans="1:5" ht="15.75" customHeight="1" x14ac:dyDescent="0.35">
      <c r="A75" s="4" t="s">
        <v>140</v>
      </c>
      <c r="B75" s="4" t="s">
        <v>85</v>
      </c>
      <c r="C75" s="4" t="s">
        <v>159</v>
      </c>
      <c r="D75" s="4" t="s">
        <v>166</v>
      </c>
      <c r="E75" s="4">
        <v>306.18</v>
      </c>
    </row>
    <row r="76" spans="1:5" ht="15.75" customHeight="1" x14ac:dyDescent="0.35">
      <c r="A76" s="4" t="s">
        <v>58</v>
      </c>
      <c r="B76" s="4" t="s">
        <v>24</v>
      </c>
      <c r="C76" s="4" t="s">
        <v>172</v>
      </c>
      <c r="D76" s="4" t="s">
        <v>158</v>
      </c>
      <c r="E76" s="4">
        <v>499.23</v>
      </c>
    </row>
    <row r="77" spans="1:5" ht="15.75" customHeight="1" x14ac:dyDescent="0.35">
      <c r="A77" s="4" t="s">
        <v>77</v>
      </c>
      <c r="B77" s="4" t="s">
        <v>50</v>
      </c>
      <c r="C77" s="4" t="s">
        <v>156</v>
      </c>
      <c r="D77" s="4" t="s">
        <v>160</v>
      </c>
      <c r="E77" s="4">
        <v>833.87</v>
      </c>
    </row>
    <row r="78" spans="1:5" ht="15.75" customHeight="1" x14ac:dyDescent="0.35">
      <c r="A78" s="4" t="s">
        <v>94</v>
      </c>
      <c r="B78" s="4" t="s">
        <v>52</v>
      </c>
      <c r="C78" s="4" t="s">
        <v>147</v>
      </c>
      <c r="D78" s="4" t="s">
        <v>155</v>
      </c>
      <c r="E78" s="4">
        <v>280.29000000000002</v>
      </c>
    </row>
    <row r="79" spans="1:5" ht="15.75" customHeight="1" x14ac:dyDescent="0.35">
      <c r="A79" s="4" t="s">
        <v>83</v>
      </c>
      <c r="B79" s="4" t="s">
        <v>5</v>
      </c>
      <c r="C79" s="4" t="s">
        <v>162</v>
      </c>
      <c r="D79" s="4" t="s">
        <v>155</v>
      </c>
      <c r="E79" s="4">
        <v>818.42</v>
      </c>
    </row>
    <row r="80" spans="1:5" ht="15.75" customHeight="1" x14ac:dyDescent="0.35">
      <c r="A80" s="4" t="s">
        <v>111</v>
      </c>
      <c r="B80" s="4" t="s">
        <v>109</v>
      </c>
      <c r="C80" s="4" t="s">
        <v>172</v>
      </c>
      <c r="D80" s="4" t="s">
        <v>150</v>
      </c>
      <c r="E80" s="4">
        <v>830.71</v>
      </c>
    </row>
    <row r="81" spans="1:5" ht="15.75" customHeight="1" x14ac:dyDescent="0.35">
      <c r="A81" s="4" t="s">
        <v>103</v>
      </c>
      <c r="B81" s="4" t="s">
        <v>26</v>
      </c>
      <c r="C81" s="4" t="s">
        <v>157</v>
      </c>
      <c r="D81" s="4" t="s">
        <v>150</v>
      </c>
      <c r="E81" s="4">
        <v>306.2</v>
      </c>
    </row>
    <row r="82" spans="1:5" ht="15.75" customHeight="1" x14ac:dyDescent="0.35">
      <c r="A82" s="4" t="s">
        <v>51</v>
      </c>
      <c r="B82" s="4" t="s">
        <v>52</v>
      </c>
      <c r="C82" s="4" t="s">
        <v>147</v>
      </c>
      <c r="D82" s="4" t="s">
        <v>166</v>
      </c>
      <c r="E82" s="4">
        <v>576.61</v>
      </c>
    </row>
    <row r="83" spans="1:5" ht="15.75" customHeight="1" x14ac:dyDescent="0.35">
      <c r="A83" s="4" t="s">
        <v>74</v>
      </c>
      <c r="B83" s="4" t="s">
        <v>75</v>
      </c>
      <c r="C83" s="4" t="s">
        <v>164</v>
      </c>
      <c r="D83" s="4" t="s">
        <v>160</v>
      </c>
      <c r="E83" s="4">
        <v>188.01</v>
      </c>
    </row>
    <row r="84" spans="1:5" ht="15.75" customHeight="1" x14ac:dyDescent="0.35">
      <c r="A84" s="4" t="s">
        <v>33</v>
      </c>
      <c r="B84" s="4" t="s">
        <v>28</v>
      </c>
      <c r="C84" s="4" t="s">
        <v>168</v>
      </c>
      <c r="D84" s="4" t="s">
        <v>160</v>
      </c>
      <c r="E84" s="4">
        <v>401.23</v>
      </c>
    </row>
    <row r="85" spans="1:5" ht="15.75" customHeight="1" x14ac:dyDescent="0.35">
      <c r="A85" s="4" t="s">
        <v>128</v>
      </c>
      <c r="B85" s="4" t="s">
        <v>82</v>
      </c>
      <c r="C85" s="4" t="s">
        <v>169</v>
      </c>
      <c r="D85" s="4" t="s">
        <v>152</v>
      </c>
      <c r="E85" s="4">
        <v>811.47</v>
      </c>
    </row>
    <row r="86" spans="1:5" ht="15.75" customHeight="1" x14ac:dyDescent="0.35">
      <c r="A86" s="4" t="s">
        <v>104</v>
      </c>
      <c r="B86" s="4" t="s">
        <v>5</v>
      </c>
      <c r="C86" s="4" t="s">
        <v>151</v>
      </c>
      <c r="D86" s="4" t="s">
        <v>158</v>
      </c>
      <c r="E86" s="4">
        <v>447.66</v>
      </c>
    </row>
    <row r="87" spans="1:5" ht="15.75" customHeight="1" x14ac:dyDescent="0.35">
      <c r="A87" s="4" t="s">
        <v>93</v>
      </c>
      <c r="B87" s="4" t="s">
        <v>82</v>
      </c>
      <c r="C87" s="4" t="s">
        <v>147</v>
      </c>
      <c r="D87" s="4" t="s">
        <v>152</v>
      </c>
      <c r="E87" s="4">
        <v>670.72</v>
      </c>
    </row>
    <row r="88" spans="1:5" ht="15.75" customHeight="1" x14ac:dyDescent="0.35">
      <c r="A88" s="4" t="s">
        <v>132</v>
      </c>
      <c r="B88" s="4" t="s">
        <v>26</v>
      </c>
      <c r="C88" s="4" t="s">
        <v>153</v>
      </c>
      <c r="D88" s="4" t="s">
        <v>152</v>
      </c>
      <c r="E88" s="4">
        <v>302.33999999999997</v>
      </c>
    </row>
    <row r="89" spans="1:5" ht="15.75" customHeight="1" x14ac:dyDescent="0.35">
      <c r="A89" s="4" t="s">
        <v>80</v>
      </c>
      <c r="B89" s="4" t="s">
        <v>22</v>
      </c>
      <c r="C89" s="4" t="s">
        <v>165</v>
      </c>
      <c r="D89" s="4" t="s">
        <v>148</v>
      </c>
      <c r="E89" s="4">
        <v>658.98</v>
      </c>
    </row>
    <row r="90" spans="1:5" ht="15.75" customHeight="1" x14ac:dyDescent="0.35">
      <c r="A90" s="4" t="s">
        <v>61</v>
      </c>
      <c r="B90" s="4" t="s">
        <v>62</v>
      </c>
      <c r="C90" s="4" t="s">
        <v>167</v>
      </c>
      <c r="D90" s="4" t="s">
        <v>158</v>
      </c>
      <c r="E90" s="4">
        <v>294.33</v>
      </c>
    </row>
    <row r="91" spans="1:5" ht="15.75" customHeight="1" x14ac:dyDescent="0.35">
      <c r="A91" s="4" t="s">
        <v>141</v>
      </c>
      <c r="B91" s="4" t="s">
        <v>24</v>
      </c>
      <c r="C91" s="4" t="s">
        <v>163</v>
      </c>
      <c r="D91" s="4" t="s">
        <v>152</v>
      </c>
      <c r="E91" s="4">
        <v>499.44</v>
      </c>
    </row>
    <row r="92" spans="1:5" ht="15.75" customHeight="1" x14ac:dyDescent="0.35">
      <c r="A92" s="4" t="s">
        <v>18</v>
      </c>
      <c r="B92" s="4" t="s">
        <v>13</v>
      </c>
      <c r="C92" s="4" t="s">
        <v>149</v>
      </c>
      <c r="D92" s="4" t="s">
        <v>152</v>
      </c>
      <c r="E92" s="4">
        <v>787.03</v>
      </c>
    </row>
    <row r="93" spans="1:5" ht="15.75" customHeight="1" x14ac:dyDescent="0.35">
      <c r="A93" s="4" t="s">
        <v>46</v>
      </c>
      <c r="B93" s="4" t="s">
        <v>20</v>
      </c>
      <c r="C93" s="4" t="s">
        <v>153</v>
      </c>
      <c r="D93" s="4" t="s">
        <v>150</v>
      </c>
      <c r="E93" s="4">
        <v>806.69</v>
      </c>
    </row>
    <row r="94" spans="1:5" ht="15.75" customHeight="1" x14ac:dyDescent="0.35">
      <c r="A94" s="4" t="s">
        <v>124</v>
      </c>
      <c r="B94" s="4" t="s">
        <v>26</v>
      </c>
      <c r="C94" s="4" t="s">
        <v>172</v>
      </c>
      <c r="D94" s="4" t="s">
        <v>155</v>
      </c>
      <c r="E94" s="4">
        <v>334.38</v>
      </c>
    </row>
    <row r="95" spans="1:5" ht="15.75" customHeight="1" x14ac:dyDescent="0.35">
      <c r="A95" s="4" t="s">
        <v>143</v>
      </c>
      <c r="B95" s="4" t="s">
        <v>16</v>
      </c>
      <c r="C95" s="4" t="s">
        <v>147</v>
      </c>
      <c r="D95" s="4" t="s">
        <v>155</v>
      </c>
      <c r="E95" s="4">
        <v>912.84</v>
      </c>
    </row>
    <row r="96" spans="1:5" ht="15.75" customHeight="1" x14ac:dyDescent="0.35">
      <c r="A96" s="4" t="s">
        <v>48</v>
      </c>
      <c r="B96" s="4" t="s">
        <v>22</v>
      </c>
      <c r="C96" s="4" t="s">
        <v>163</v>
      </c>
      <c r="D96" s="4" t="s">
        <v>160</v>
      </c>
      <c r="E96" s="4">
        <v>349.59</v>
      </c>
    </row>
    <row r="97" spans="1:5" ht="15.75" customHeight="1" x14ac:dyDescent="0.35">
      <c r="A97" s="4" t="s">
        <v>44</v>
      </c>
      <c r="B97" s="4" t="s">
        <v>20</v>
      </c>
      <c r="C97" s="4" t="s">
        <v>172</v>
      </c>
      <c r="D97" s="4" t="s">
        <v>160</v>
      </c>
      <c r="E97" s="4">
        <v>959.82</v>
      </c>
    </row>
    <row r="98" spans="1:5" ht="15.75" customHeight="1" x14ac:dyDescent="0.35">
      <c r="A98" s="4" t="s">
        <v>90</v>
      </c>
      <c r="B98" s="4" t="s">
        <v>39</v>
      </c>
      <c r="C98" s="4" t="s">
        <v>173</v>
      </c>
      <c r="D98" s="4" t="s">
        <v>155</v>
      </c>
      <c r="E98" s="4">
        <v>970.1</v>
      </c>
    </row>
    <row r="99" spans="1:5" ht="15.75" customHeight="1" x14ac:dyDescent="0.35">
      <c r="A99" s="4" t="s">
        <v>95</v>
      </c>
      <c r="B99" s="4" t="s">
        <v>39</v>
      </c>
      <c r="C99" s="4" t="s">
        <v>165</v>
      </c>
      <c r="D99" s="4" t="s">
        <v>152</v>
      </c>
      <c r="E99" s="4">
        <v>950.74</v>
      </c>
    </row>
    <row r="100" spans="1:5" ht="15.75" customHeight="1" x14ac:dyDescent="0.35">
      <c r="A100" s="4" t="s">
        <v>114</v>
      </c>
      <c r="B100" s="4" t="s">
        <v>75</v>
      </c>
      <c r="C100" s="4" t="s">
        <v>147</v>
      </c>
      <c r="D100" s="4" t="s">
        <v>152</v>
      </c>
      <c r="E100" s="4">
        <v>405.92</v>
      </c>
    </row>
    <row r="101" spans="1:5" ht="15.75" customHeight="1" x14ac:dyDescent="0.35">
      <c r="A101" s="4" t="s">
        <v>87</v>
      </c>
      <c r="B101" s="4" t="s">
        <v>39</v>
      </c>
      <c r="C101" s="4" t="s">
        <v>169</v>
      </c>
      <c r="D101" s="4" t="s">
        <v>155</v>
      </c>
      <c r="E101" s="4">
        <v>510.54</v>
      </c>
    </row>
    <row r="102" spans="1:5" ht="15.75" customHeight="1" x14ac:dyDescent="0.35">
      <c r="A102" s="4" t="s">
        <v>123</v>
      </c>
      <c r="B102" s="4" t="s">
        <v>79</v>
      </c>
      <c r="C102" s="4" t="s">
        <v>157</v>
      </c>
      <c r="D102" s="4" t="s">
        <v>160</v>
      </c>
      <c r="E102" s="4">
        <v>950.93</v>
      </c>
    </row>
    <row r="103" spans="1:5" ht="15.75" customHeight="1" x14ac:dyDescent="0.35">
      <c r="A103" s="4" t="s">
        <v>105</v>
      </c>
      <c r="B103" s="4" t="s">
        <v>79</v>
      </c>
      <c r="C103" s="4" t="s">
        <v>162</v>
      </c>
      <c r="D103" s="4" t="s">
        <v>158</v>
      </c>
      <c r="E103" s="4">
        <v>676.7</v>
      </c>
    </row>
    <row r="104" spans="1:5" ht="15.75" customHeight="1" x14ac:dyDescent="0.35">
      <c r="A104" s="4" t="s">
        <v>69</v>
      </c>
      <c r="B104" s="4" t="s">
        <v>24</v>
      </c>
      <c r="C104" s="4" t="s">
        <v>172</v>
      </c>
      <c r="D104" s="4" t="s">
        <v>166</v>
      </c>
      <c r="E104" s="4">
        <v>383.27</v>
      </c>
    </row>
    <row r="105" spans="1:5" ht="15.75" customHeight="1" x14ac:dyDescent="0.35">
      <c r="A105" s="4" t="s">
        <v>56</v>
      </c>
      <c r="B105" s="4" t="s">
        <v>5</v>
      </c>
      <c r="C105" s="4" t="s">
        <v>169</v>
      </c>
      <c r="D105" s="4" t="s">
        <v>155</v>
      </c>
      <c r="E105" s="4">
        <v>597.80999999999995</v>
      </c>
    </row>
    <row r="106" spans="1:5" ht="15.75" customHeight="1" x14ac:dyDescent="0.35">
      <c r="A106" s="4" t="s">
        <v>100</v>
      </c>
      <c r="B106" s="4" t="s">
        <v>79</v>
      </c>
      <c r="C106" s="4" t="s">
        <v>153</v>
      </c>
      <c r="D106" s="4" t="s">
        <v>166</v>
      </c>
      <c r="E106" s="4">
        <v>549.75</v>
      </c>
    </row>
    <row r="107" spans="1:5" ht="15.75" customHeight="1" x14ac:dyDescent="0.35">
      <c r="A107" s="4" t="s">
        <v>115</v>
      </c>
      <c r="B107" s="4" t="s">
        <v>50</v>
      </c>
      <c r="C107" s="4" t="s">
        <v>154</v>
      </c>
      <c r="D107" s="4" t="s">
        <v>150</v>
      </c>
      <c r="E107" s="4">
        <v>576.48</v>
      </c>
    </row>
    <row r="108" spans="1:5" ht="15.75" customHeight="1" x14ac:dyDescent="0.35">
      <c r="A108" s="4" t="s">
        <v>122</v>
      </c>
      <c r="B108" s="4" t="s">
        <v>26</v>
      </c>
      <c r="C108" s="4" t="s">
        <v>149</v>
      </c>
      <c r="D108" s="4" t="s">
        <v>158</v>
      </c>
      <c r="E108" s="4">
        <v>931.11</v>
      </c>
    </row>
    <row r="109" spans="1:5" ht="15.75" customHeight="1" x14ac:dyDescent="0.35">
      <c r="A109" s="4" t="s">
        <v>27</v>
      </c>
      <c r="B109" s="4" t="s">
        <v>28</v>
      </c>
      <c r="C109" s="4" t="s">
        <v>154</v>
      </c>
      <c r="D109" s="4" t="s">
        <v>166</v>
      </c>
      <c r="E109" s="4">
        <v>967.84</v>
      </c>
    </row>
    <row r="110" spans="1:5" ht="15.75" customHeight="1" x14ac:dyDescent="0.35">
      <c r="A110" s="4" t="s">
        <v>134</v>
      </c>
      <c r="B110" s="4" t="s">
        <v>85</v>
      </c>
      <c r="C110" s="4" t="s">
        <v>171</v>
      </c>
      <c r="D110" s="4" t="s">
        <v>158</v>
      </c>
      <c r="E110" s="4">
        <v>682.72</v>
      </c>
    </row>
    <row r="111" spans="1:5" ht="15.75" customHeight="1" x14ac:dyDescent="0.35">
      <c r="A111" s="4" t="s">
        <v>86</v>
      </c>
      <c r="B111" s="4" t="s">
        <v>26</v>
      </c>
      <c r="C111" s="4" t="s">
        <v>169</v>
      </c>
      <c r="D111" s="4" t="s">
        <v>158</v>
      </c>
      <c r="E111" s="4">
        <v>418.89</v>
      </c>
    </row>
    <row r="112" spans="1:5" ht="15.75" customHeight="1" x14ac:dyDescent="0.35">
      <c r="A112" s="4" t="s">
        <v>102</v>
      </c>
      <c r="B112" s="4" t="s">
        <v>41</v>
      </c>
      <c r="C112" s="4" t="s">
        <v>157</v>
      </c>
      <c r="D112" s="4" t="s">
        <v>160</v>
      </c>
      <c r="E112" s="4">
        <v>927.57</v>
      </c>
    </row>
    <row r="113" spans="1:5" ht="15.75" customHeight="1" x14ac:dyDescent="0.35">
      <c r="A113" s="4" t="s">
        <v>84</v>
      </c>
      <c r="B113" s="4" t="s">
        <v>85</v>
      </c>
      <c r="C113" s="4" t="s">
        <v>172</v>
      </c>
      <c r="D113" s="4" t="s">
        <v>155</v>
      </c>
      <c r="E113" s="4">
        <v>898.39</v>
      </c>
    </row>
    <row r="114" spans="1:5" ht="15.75" customHeight="1" x14ac:dyDescent="0.35">
      <c r="A114" s="4" t="s">
        <v>92</v>
      </c>
      <c r="B114" s="4" t="s">
        <v>82</v>
      </c>
      <c r="C114" s="4" t="s">
        <v>172</v>
      </c>
      <c r="D114" s="4" t="s">
        <v>152</v>
      </c>
      <c r="E114" s="4">
        <v>333.64</v>
      </c>
    </row>
    <row r="115" spans="1:5" ht="15.75" customHeight="1" x14ac:dyDescent="0.35">
      <c r="A115" s="4" t="s">
        <v>108</v>
      </c>
      <c r="B115" s="4" t="s">
        <v>109</v>
      </c>
      <c r="C115" s="4" t="s">
        <v>159</v>
      </c>
      <c r="D115" s="4" t="s">
        <v>166</v>
      </c>
      <c r="E115" s="4">
        <v>285.57</v>
      </c>
    </row>
    <row r="116" spans="1:5" ht="15.75" customHeight="1" x14ac:dyDescent="0.35">
      <c r="A116" s="4" t="s">
        <v>113</v>
      </c>
      <c r="B116" s="4" t="s">
        <v>85</v>
      </c>
      <c r="C116" s="4" t="s">
        <v>169</v>
      </c>
      <c r="D116" s="4" t="s">
        <v>166</v>
      </c>
      <c r="E116" s="4">
        <v>143.22</v>
      </c>
    </row>
    <row r="117" spans="1:5" ht="15.75" customHeight="1" x14ac:dyDescent="0.35">
      <c r="A117" s="4" t="s">
        <v>66</v>
      </c>
      <c r="B117" s="4" t="s">
        <v>52</v>
      </c>
      <c r="C117" s="4" t="s">
        <v>171</v>
      </c>
      <c r="D117" s="4" t="s">
        <v>158</v>
      </c>
      <c r="E117" s="4">
        <v>914.49</v>
      </c>
    </row>
    <row r="118" spans="1:5" ht="15.75" customHeight="1" x14ac:dyDescent="0.35">
      <c r="A118" s="4" t="s">
        <v>19</v>
      </c>
      <c r="B118" s="4" t="s">
        <v>20</v>
      </c>
      <c r="C118" s="4" t="s">
        <v>154</v>
      </c>
      <c r="D118" s="4" t="s">
        <v>155</v>
      </c>
      <c r="E118" s="4">
        <v>546.58000000000004</v>
      </c>
    </row>
    <row r="119" spans="1:5" ht="15.75" customHeight="1" x14ac:dyDescent="0.35">
      <c r="A119" s="4" t="s">
        <v>131</v>
      </c>
      <c r="B119" s="4" t="s">
        <v>26</v>
      </c>
      <c r="C119" s="4" t="s">
        <v>173</v>
      </c>
      <c r="D119" s="4" t="s">
        <v>150</v>
      </c>
      <c r="E119" s="4">
        <v>551.52</v>
      </c>
    </row>
    <row r="120" spans="1:5" ht="15.75" customHeight="1" x14ac:dyDescent="0.35">
      <c r="A120" s="4" t="s">
        <v>137</v>
      </c>
      <c r="B120" s="4" t="s">
        <v>20</v>
      </c>
      <c r="C120" s="4" t="s">
        <v>156</v>
      </c>
      <c r="D120" s="4" t="s">
        <v>148</v>
      </c>
      <c r="E120" s="4">
        <v>793.28</v>
      </c>
    </row>
    <row r="121" spans="1:5" ht="15.75" customHeight="1" x14ac:dyDescent="0.35">
      <c r="A121" s="4" t="s">
        <v>91</v>
      </c>
      <c r="B121" s="4" t="s">
        <v>26</v>
      </c>
      <c r="C121" s="4" t="s">
        <v>156</v>
      </c>
      <c r="D121" s="4" t="s">
        <v>160</v>
      </c>
      <c r="E121" s="4">
        <v>479.4</v>
      </c>
    </row>
    <row r="122" spans="1:5" ht="15.75" customHeight="1" x14ac:dyDescent="0.35"/>
    <row r="123" spans="1:5" ht="15.75" customHeight="1" x14ac:dyDescent="0.35"/>
    <row r="124" spans="1:5" ht="15.75" customHeight="1" x14ac:dyDescent="0.35"/>
    <row r="125" spans="1:5" ht="15.75" customHeight="1" x14ac:dyDescent="0.35"/>
    <row r="126" spans="1:5" ht="15.75" customHeight="1" x14ac:dyDescent="0.35"/>
    <row r="127" spans="1:5" ht="15.75" customHeight="1" x14ac:dyDescent="0.35"/>
    <row r="128" spans="1:5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000"/>
  <sheetViews>
    <sheetView workbookViewId="0">
      <pane xSplit="1" ySplit="1" topLeftCell="B104" activePane="bottomRight" state="frozen"/>
      <selection pane="topRight" activeCell="B1" sqref="B1"/>
      <selection pane="bottomLeft" activeCell="A2" sqref="A2"/>
      <selection pane="bottomRight" activeCell="B116" sqref="B116"/>
    </sheetView>
  </sheetViews>
  <sheetFormatPr defaultColWidth="14.453125" defaultRowHeight="15" customHeight="1" x14ac:dyDescent="0.35"/>
  <cols>
    <col min="1" max="1" width="6.7265625" customWidth="1"/>
    <col min="2" max="2" width="18.08984375" customWidth="1"/>
    <col min="3" max="3" width="9.54296875" customWidth="1"/>
    <col min="4" max="4" width="16.08984375" customWidth="1"/>
    <col min="5" max="5" width="14" customWidth="1"/>
    <col min="6" max="6" width="11" customWidth="1"/>
    <col min="7" max="7" width="16.26953125" customWidth="1"/>
    <col min="8" max="8" width="16" customWidth="1"/>
  </cols>
  <sheetData>
    <row r="1" spans="1:8" x14ac:dyDescent="0.35">
      <c r="A1" s="2" t="s">
        <v>1</v>
      </c>
      <c r="B1" s="2" t="s">
        <v>145</v>
      </c>
      <c r="C1" s="6" t="s">
        <v>146</v>
      </c>
      <c r="D1" s="6" t="s">
        <v>174</v>
      </c>
      <c r="E1" s="6" t="s">
        <v>175</v>
      </c>
      <c r="F1" s="6" t="s">
        <v>176</v>
      </c>
      <c r="G1" s="6" t="s">
        <v>177</v>
      </c>
      <c r="H1" s="6" t="s">
        <v>178</v>
      </c>
    </row>
    <row r="2" spans="1:8" x14ac:dyDescent="0.35">
      <c r="A2" s="7" t="s">
        <v>78</v>
      </c>
      <c r="B2" s="7" t="s">
        <v>148</v>
      </c>
      <c r="C2" s="8">
        <v>976.36</v>
      </c>
      <c r="D2" s="7">
        <f>SUMIF(Entrada!B:B,A2,Entrada!D:D)</f>
        <v>233</v>
      </c>
      <c r="E2" s="7">
        <f>SUMIF(Saida!B:B,A2,Saida!D:D)</f>
        <v>227</v>
      </c>
      <c r="F2" s="7">
        <f t="shared" ref="F2:F121" si="0">D2-E2</f>
        <v>6</v>
      </c>
      <c r="G2" s="8">
        <f>F2*(_xlfn.XLOOKUP(A2,Cadastro!A:A,Cadastro!E:E,,0))</f>
        <v>5858.16</v>
      </c>
      <c r="H2" s="7" t="str" cm="1">
        <f t="array" ref="H2">_xlfn.IFS(F2=0,"Obsoleto",F2&lt;0,"Estoque Negativo",AND(F2&gt;=1,F2&lt;=20),"Crítico",AND(F2&gt;=21,F2&lt;=100),"OK",F2&gt;100,"Excesso")</f>
        <v>Crítico</v>
      </c>
    </row>
    <row r="3" spans="1:8" x14ac:dyDescent="0.35">
      <c r="A3" s="7" t="s">
        <v>60</v>
      </c>
      <c r="B3" s="7" t="s">
        <v>150</v>
      </c>
      <c r="C3" s="8">
        <v>652.16999999999996</v>
      </c>
      <c r="D3" s="7">
        <f>SUMIF(Entrada!B:B,A3,Entrada!D:D)</f>
        <v>347</v>
      </c>
      <c r="E3" s="7">
        <f>SUMIF(Saida!B:B,A3,Saida!D:D)</f>
        <v>89</v>
      </c>
      <c r="F3" s="7">
        <f t="shared" si="0"/>
        <v>258</v>
      </c>
      <c r="G3" s="8">
        <f>F3*(_xlfn.XLOOKUP(A3,Cadastro!A:A,Cadastro!E:E,,0))</f>
        <v>168259.86</v>
      </c>
      <c r="H3" s="7" t="str" cm="1">
        <f t="array" ref="H3">_xlfn.IFS(F3=0,"Obsoleto",F3&lt;0,"Estoque Negativo",AND(F3&gt;=1,F3&lt;=20),"Crítico",AND(F3&gt;=21,F3&lt;=100),"OK",F3&gt;100,"Excesso")</f>
        <v>Excesso</v>
      </c>
    </row>
    <row r="4" spans="1:8" x14ac:dyDescent="0.35">
      <c r="A4" s="7" t="s">
        <v>70</v>
      </c>
      <c r="B4" s="7" t="s">
        <v>152</v>
      </c>
      <c r="C4" s="8">
        <v>523.33000000000004</v>
      </c>
      <c r="D4" s="7">
        <f>SUMIF(Entrada!B:B,A4,Entrada!D:D)</f>
        <v>291</v>
      </c>
      <c r="E4" s="7">
        <f>SUMIF(Saida!B:B,A4,Saida!D:D)</f>
        <v>198</v>
      </c>
      <c r="F4" s="7">
        <f t="shared" si="0"/>
        <v>93</v>
      </c>
      <c r="G4" s="8">
        <f>F4*(_xlfn.XLOOKUP(A4,Cadastro!A:A,Cadastro!E:E,,0))</f>
        <v>48669.69</v>
      </c>
      <c r="H4" s="7" t="str" cm="1">
        <f t="array" ref="H4">_xlfn.IFS(F4=0,"Obsoleto",F4&lt;0,"Estoque Negativo",AND(F4&gt;=1,F4&lt;=20),"Crítico",AND(F4&gt;=21,F4&lt;=100),"OK",F4&gt;100,"Excesso")</f>
        <v>OK</v>
      </c>
    </row>
    <row r="5" spans="1:8" x14ac:dyDescent="0.35">
      <c r="A5" s="7" t="s">
        <v>10</v>
      </c>
      <c r="B5" s="7" t="s">
        <v>150</v>
      </c>
      <c r="C5" s="8">
        <v>101.03</v>
      </c>
      <c r="D5" s="7">
        <f>SUMIF(Entrada!B:B,A5,Entrada!D:D)</f>
        <v>266</v>
      </c>
      <c r="E5" s="7">
        <f>SUMIF(Saida!B:B,A5,Saida!D:D)</f>
        <v>180</v>
      </c>
      <c r="F5" s="7">
        <f t="shared" si="0"/>
        <v>86</v>
      </c>
      <c r="G5" s="8">
        <f>F5*(_xlfn.XLOOKUP(A5,Cadastro!A:A,Cadastro!E:E,,0))</f>
        <v>8688.58</v>
      </c>
      <c r="H5" s="7" t="str" cm="1">
        <f t="array" ref="H5">_xlfn.IFS(F5=0,"Obsoleto",F5&lt;0,"Estoque Negativo",AND(F5&gt;=1,F5&lt;=20),"Crítico",AND(F5&gt;=21,F5&lt;=100),"OK",F5&gt;100,"Excesso")</f>
        <v>OK</v>
      </c>
    </row>
    <row r="6" spans="1:8" x14ac:dyDescent="0.35">
      <c r="A6" s="7" t="s">
        <v>89</v>
      </c>
      <c r="B6" s="7" t="s">
        <v>155</v>
      </c>
      <c r="C6" s="8">
        <v>389.93</v>
      </c>
      <c r="D6" s="7">
        <f>SUMIF(Entrada!B:B,A6,Entrada!D:D)</f>
        <v>238</v>
      </c>
      <c r="E6" s="7">
        <f>SUMIF(Saida!B:B,A6,Saida!D:D)</f>
        <v>29</v>
      </c>
      <c r="F6" s="7">
        <f t="shared" si="0"/>
        <v>209</v>
      </c>
      <c r="G6" s="8">
        <f>F6*(_xlfn.XLOOKUP(A6,Cadastro!A:A,Cadastro!E:E,,0))</f>
        <v>81495.37</v>
      </c>
      <c r="H6" s="7" t="str" cm="1">
        <f t="array" ref="H6">_xlfn.IFS(F6=0,"Obsoleto",F6&lt;0,"Estoque Negativo",AND(F6&gt;=1,F6&lt;=20),"Crítico",AND(F6&gt;=21,F6&lt;=100),"OK",F6&gt;100,"Excesso")</f>
        <v>Excesso</v>
      </c>
    </row>
    <row r="7" spans="1:8" x14ac:dyDescent="0.35">
      <c r="A7" s="7" t="s">
        <v>7</v>
      </c>
      <c r="B7" s="7" t="s">
        <v>148</v>
      </c>
      <c r="C7" s="8">
        <v>238.68</v>
      </c>
      <c r="D7" s="7">
        <f>SUMIF(Entrada!B:B,A7,Entrada!D:D)</f>
        <v>317</v>
      </c>
      <c r="E7" s="7">
        <f>SUMIF(Saida!B:B,A7,Saida!D:D)</f>
        <v>55</v>
      </c>
      <c r="F7" s="7">
        <f t="shared" si="0"/>
        <v>262</v>
      </c>
      <c r="G7" s="8">
        <f>F7*(_xlfn.XLOOKUP(A7,Cadastro!A:A,Cadastro!E:E,,0))</f>
        <v>62534.16</v>
      </c>
      <c r="H7" s="7" t="str" cm="1">
        <f t="array" ref="H7">_xlfn.IFS(F7=0,"Obsoleto",F7&lt;0,"Estoque Negativo",AND(F7&gt;=1,F7&lt;=20),"Crítico",AND(F7&gt;=21,F7&lt;=100),"OK",F7&gt;100,"Excesso")</f>
        <v>Excesso</v>
      </c>
    </row>
    <row r="8" spans="1:8" x14ac:dyDescent="0.35">
      <c r="A8" s="7" t="s">
        <v>65</v>
      </c>
      <c r="B8" s="7" t="s">
        <v>158</v>
      </c>
      <c r="C8" s="8">
        <v>395.54</v>
      </c>
      <c r="D8" s="7">
        <f>SUMIF(Entrada!B:B,A8,Entrada!D:D)</f>
        <v>262</v>
      </c>
      <c r="E8" s="7">
        <f>SUMIF(Saida!B:B,A8,Saida!D:D)</f>
        <v>161</v>
      </c>
      <c r="F8" s="7">
        <f t="shared" si="0"/>
        <v>101</v>
      </c>
      <c r="G8" s="8">
        <f>F8*(_xlfn.XLOOKUP(A8,Cadastro!A:A,Cadastro!E:E,,0))</f>
        <v>39949.54</v>
      </c>
      <c r="H8" s="7" t="str" cm="1">
        <f t="array" ref="H8">_xlfn.IFS(F8=0,"Obsoleto",F8&lt;0,"Estoque Negativo",AND(F8&gt;=1,F8&lt;=20),"Crítico",AND(F8&gt;=21,F8&lt;=100),"OK",F8&gt;100,"Excesso")</f>
        <v>Excesso</v>
      </c>
    </row>
    <row r="9" spans="1:8" x14ac:dyDescent="0.35">
      <c r="A9" s="7" t="s">
        <v>67</v>
      </c>
      <c r="B9" s="7" t="s">
        <v>155</v>
      </c>
      <c r="C9" s="8">
        <v>97.2</v>
      </c>
      <c r="D9" s="7">
        <f>SUMIF(Entrada!B:B,A9,Entrada!D:D)</f>
        <v>380</v>
      </c>
      <c r="E9" s="7">
        <f>SUMIF(Saida!B:B,A9,Saida!D:D)</f>
        <v>235</v>
      </c>
      <c r="F9" s="7">
        <f t="shared" si="0"/>
        <v>145</v>
      </c>
      <c r="G9" s="8">
        <f>F9*(_xlfn.XLOOKUP(A9,Cadastro!A:A,Cadastro!E:E,,0))</f>
        <v>14094</v>
      </c>
      <c r="H9" s="7" t="str" cm="1">
        <f t="array" ref="H9">_xlfn.IFS(F9=0,"Obsoleto",F9&lt;0,"Estoque Negativo",AND(F9&gt;=1,F9&lt;=20),"Crítico",AND(F9&gt;=21,F9&lt;=100),"OK",F9&gt;100,"Excesso")</f>
        <v>Excesso</v>
      </c>
    </row>
    <row r="10" spans="1:8" x14ac:dyDescent="0.35">
      <c r="A10" s="7" t="s">
        <v>125</v>
      </c>
      <c r="B10" s="7" t="s">
        <v>152</v>
      </c>
      <c r="C10" s="8">
        <v>938.68</v>
      </c>
      <c r="D10" s="7">
        <f>SUMIF(Entrada!B:B,A10,Entrada!D:D)</f>
        <v>171</v>
      </c>
      <c r="E10" s="7">
        <f>SUMIF(Saida!B:B,A10,Saida!D:D)</f>
        <v>88</v>
      </c>
      <c r="F10" s="7">
        <f t="shared" si="0"/>
        <v>83</v>
      </c>
      <c r="G10" s="8">
        <f>F10*(_xlfn.XLOOKUP(A10,Cadastro!A:A,Cadastro!E:E,,0))</f>
        <v>77910.44</v>
      </c>
      <c r="H10" s="7" t="str" cm="1">
        <f t="array" ref="H10">_xlfn.IFS(F10=0,"Obsoleto",F10&lt;0,"Estoque Negativo",AND(F10&gt;=1,F10&lt;=20),"Crítico",AND(F10&gt;=21,F10&lt;=100),"OK",F10&gt;100,"Excesso")</f>
        <v>OK</v>
      </c>
    </row>
    <row r="11" spans="1:8" x14ac:dyDescent="0.35">
      <c r="A11" s="7" t="s">
        <v>47</v>
      </c>
      <c r="B11" s="7" t="s">
        <v>160</v>
      </c>
      <c r="C11" s="8">
        <v>536.84</v>
      </c>
      <c r="D11" s="7">
        <f>SUMIF(Entrada!B:B,A11,Entrada!D:D)</f>
        <v>376</v>
      </c>
      <c r="E11" s="7">
        <f>SUMIF(Saida!B:B,A11,Saida!D:D)</f>
        <v>57</v>
      </c>
      <c r="F11" s="7">
        <f t="shared" si="0"/>
        <v>319</v>
      </c>
      <c r="G11" s="8">
        <f>F11*(_xlfn.XLOOKUP(A11,Cadastro!A:A,Cadastro!E:E,,0))</f>
        <v>171251.96000000002</v>
      </c>
      <c r="H11" s="7" t="str" cm="1">
        <f t="array" ref="H11">_xlfn.IFS(F11=0,"Obsoleto",F11&lt;0,"Estoque Negativo",AND(F11&gt;=1,F11&lt;=20),"Crítico",AND(F11&gt;=21,F11&lt;=100),"OK",F11&gt;100,"Excesso")</f>
        <v>Excesso</v>
      </c>
    </row>
    <row r="12" spans="1:8" x14ac:dyDescent="0.35">
      <c r="A12" s="7" t="s">
        <v>63</v>
      </c>
      <c r="B12" s="7" t="s">
        <v>160</v>
      </c>
      <c r="C12" s="8">
        <v>482.7</v>
      </c>
      <c r="D12" s="7">
        <f>SUMIF(Entrada!B:B,A12,Entrada!D:D)</f>
        <v>657</v>
      </c>
      <c r="E12" s="7">
        <f>SUMIF(Saida!B:B,A12,Saida!D:D)</f>
        <v>338</v>
      </c>
      <c r="F12" s="7">
        <f t="shared" si="0"/>
        <v>319</v>
      </c>
      <c r="G12" s="8">
        <f>F12*(_xlfn.XLOOKUP(A12,Cadastro!A:A,Cadastro!E:E,,0))</f>
        <v>153981.29999999999</v>
      </c>
      <c r="H12" s="7" t="str" cm="1">
        <f t="array" ref="H12">_xlfn.IFS(F12=0,"Obsoleto",F12&lt;0,"Estoque Negativo",AND(F12&gt;=1,F12&lt;=20),"Crítico",AND(F12&gt;=21,F12&lt;=100),"OK",F12&gt;100,"Excesso")</f>
        <v>Excesso</v>
      </c>
    </row>
    <row r="13" spans="1:8" x14ac:dyDescent="0.35">
      <c r="A13" s="7" t="s">
        <v>34</v>
      </c>
      <c r="B13" s="7" t="s">
        <v>160</v>
      </c>
      <c r="C13" s="8">
        <v>756.15</v>
      </c>
      <c r="D13" s="7">
        <f>SUMIF(Entrada!B:B,A13,Entrada!D:D)</f>
        <v>277</v>
      </c>
      <c r="E13" s="7">
        <f>SUMIF(Saida!B:B,A13,Saida!D:D)</f>
        <v>241</v>
      </c>
      <c r="F13" s="7">
        <f t="shared" si="0"/>
        <v>36</v>
      </c>
      <c r="G13" s="8">
        <f>F13*(_xlfn.XLOOKUP(A13,Cadastro!A:A,Cadastro!E:E,,0))</f>
        <v>27221.399999999998</v>
      </c>
      <c r="H13" s="7" t="str" cm="1">
        <f t="array" ref="H13">_xlfn.IFS(F13=0,"Obsoleto",F13&lt;0,"Estoque Negativo",AND(F13&gt;=1,F13&lt;=20),"Crítico",AND(F13&gt;=21,F13&lt;=100),"OK",F13&gt;100,"Excesso")</f>
        <v>OK</v>
      </c>
    </row>
    <row r="14" spans="1:8" x14ac:dyDescent="0.35">
      <c r="A14" s="7" t="s">
        <v>129</v>
      </c>
      <c r="B14" s="7" t="s">
        <v>150</v>
      </c>
      <c r="C14" s="8">
        <v>966.44</v>
      </c>
      <c r="D14" s="7">
        <f>SUMIF(Entrada!B:B,A14,Entrada!D:D)</f>
        <v>222</v>
      </c>
      <c r="E14" s="7">
        <f>SUMIF(Saida!B:B,A14,Saida!D:D)</f>
        <v>261</v>
      </c>
      <c r="F14" s="7">
        <f t="shared" si="0"/>
        <v>-39</v>
      </c>
      <c r="G14" s="8">
        <f>F14*(_xlfn.XLOOKUP(A14,Cadastro!A:A,Cadastro!E:E,,0))</f>
        <v>-37691.160000000003</v>
      </c>
      <c r="H14" s="7" t="str" cm="1">
        <f t="array" ref="H14">_xlfn.IFS(F14=0,"Obsoleto",F14&lt;0,"Estoque Negativo",AND(F14&gt;=1,F14&lt;=20),"Crítico",AND(F14&gt;=21,F14&lt;=100),"OK",F14&gt;100,"Excesso")</f>
        <v>Estoque Negativo</v>
      </c>
    </row>
    <row r="15" spans="1:8" x14ac:dyDescent="0.35">
      <c r="A15" s="7" t="s">
        <v>110</v>
      </c>
      <c r="B15" s="7" t="s">
        <v>148</v>
      </c>
      <c r="C15" s="8">
        <v>223.56</v>
      </c>
      <c r="D15" s="7">
        <f>SUMIF(Entrada!B:B,A15,Entrada!D:D)</f>
        <v>577</v>
      </c>
      <c r="E15" s="7">
        <f>SUMIF(Saida!B:B,A15,Saida!D:D)</f>
        <v>189</v>
      </c>
      <c r="F15" s="7">
        <f t="shared" si="0"/>
        <v>388</v>
      </c>
      <c r="G15" s="8">
        <f>F15*(_xlfn.XLOOKUP(A15,Cadastro!A:A,Cadastro!E:E,,0))</f>
        <v>86741.28</v>
      </c>
      <c r="H15" s="7" t="str" cm="1">
        <f t="array" ref="H15">_xlfn.IFS(F15=0,"Obsoleto",F15&lt;0,"Estoque Negativo",AND(F15&gt;=1,F15&lt;=20),"Crítico",AND(F15&gt;=21,F15&lt;=100),"OK",F15&gt;100,"Excesso")</f>
        <v>Excesso</v>
      </c>
    </row>
    <row r="16" spans="1:8" x14ac:dyDescent="0.35">
      <c r="A16" s="7" t="s">
        <v>119</v>
      </c>
      <c r="B16" s="7" t="s">
        <v>148</v>
      </c>
      <c r="C16" s="8">
        <v>257.3</v>
      </c>
      <c r="D16" s="7">
        <f>SUMIF(Entrada!B:B,A16,Entrada!D:D)</f>
        <v>284</v>
      </c>
      <c r="E16" s="7">
        <f>SUMIF(Saida!B:B,A16,Saida!D:D)</f>
        <v>127</v>
      </c>
      <c r="F16" s="7">
        <f t="shared" si="0"/>
        <v>157</v>
      </c>
      <c r="G16" s="8">
        <f>F16*(_xlfn.XLOOKUP(A16,Cadastro!A:A,Cadastro!E:E,,0))</f>
        <v>40396.1</v>
      </c>
      <c r="H16" s="7" t="str" cm="1">
        <f t="array" ref="H16">_xlfn.IFS(F16=0,"Obsoleto",F16&lt;0,"Estoque Negativo",AND(F16&gt;=1,F16&lt;=20),"Crítico",AND(F16&gt;=21,F16&lt;=100),"OK",F16&gt;100,"Excesso")</f>
        <v>Excesso</v>
      </c>
    </row>
    <row r="17" spans="1:8" x14ac:dyDescent="0.35">
      <c r="A17" s="7" t="s">
        <v>98</v>
      </c>
      <c r="B17" s="7" t="s">
        <v>160</v>
      </c>
      <c r="C17" s="8">
        <v>381.51</v>
      </c>
      <c r="D17" s="7">
        <f>SUMIF(Entrada!B:B,A17,Entrada!D:D)</f>
        <v>104</v>
      </c>
      <c r="E17" s="7">
        <f>SUMIF(Saida!B:B,A17,Saida!D:D)</f>
        <v>57</v>
      </c>
      <c r="F17" s="7">
        <f t="shared" si="0"/>
        <v>47</v>
      </c>
      <c r="G17" s="8">
        <f>F17*(_xlfn.XLOOKUP(A17,Cadastro!A:A,Cadastro!E:E,,0))</f>
        <v>17930.97</v>
      </c>
      <c r="H17" s="7" t="str" cm="1">
        <f t="array" ref="H17">_xlfn.IFS(F17=0,"Obsoleto",F17&lt;0,"Estoque Negativo",AND(F17&gt;=1,F17&lt;=20),"Crítico",AND(F17&gt;=21,F17&lt;=100),"OK",F17&gt;100,"Excesso")</f>
        <v>OK</v>
      </c>
    </row>
    <row r="18" spans="1:8" x14ac:dyDescent="0.35">
      <c r="A18" s="7" t="s">
        <v>40</v>
      </c>
      <c r="B18" s="7" t="s">
        <v>155</v>
      </c>
      <c r="C18" s="8">
        <v>837.9</v>
      </c>
      <c r="D18" s="7">
        <f>SUMIF(Entrada!B:B,A18,Entrada!D:D)</f>
        <v>336</v>
      </c>
      <c r="E18" s="7">
        <f>SUMIF(Saida!B:B,A18,Saida!D:D)</f>
        <v>188</v>
      </c>
      <c r="F18" s="7">
        <f t="shared" si="0"/>
        <v>148</v>
      </c>
      <c r="G18" s="8">
        <f>F18*(_xlfn.XLOOKUP(A18,Cadastro!A:A,Cadastro!E:E,,0))</f>
        <v>124009.2</v>
      </c>
      <c r="H18" s="7" t="str" cm="1">
        <f t="array" ref="H18">_xlfn.IFS(F18=0,"Obsoleto",F18&lt;0,"Estoque Negativo",AND(F18&gt;=1,F18&lt;=20),"Crítico",AND(F18&gt;=21,F18&lt;=100),"OK",F18&gt;100,"Excesso")</f>
        <v>Excesso</v>
      </c>
    </row>
    <row r="19" spans="1:8" x14ac:dyDescent="0.35">
      <c r="A19" s="7" t="s">
        <v>32</v>
      </c>
      <c r="B19" s="7" t="s">
        <v>150</v>
      </c>
      <c r="C19" s="8">
        <v>715.01</v>
      </c>
      <c r="D19" s="7">
        <f>SUMIF(Entrada!B:B,A19,Entrada!D:D)</f>
        <v>207</v>
      </c>
      <c r="E19" s="7">
        <f>SUMIF(Saida!B:B,A19,Saida!D:D)</f>
        <v>217</v>
      </c>
      <c r="F19" s="7">
        <f t="shared" si="0"/>
        <v>-10</v>
      </c>
      <c r="G19" s="8">
        <f>F19*(_xlfn.XLOOKUP(A19,Cadastro!A:A,Cadastro!E:E,,0))</f>
        <v>-7150.1</v>
      </c>
      <c r="H19" s="7" t="str" cm="1">
        <f t="array" ref="H19">_xlfn.IFS(F19=0,"Obsoleto",F19&lt;0,"Estoque Negativo",AND(F19&gt;=1,F19&lt;=20),"Crítico",AND(F19&gt;=21,F19&lt;=100),"OK",F19&gt;100,"Excesso")</f>
        <v>Estoque Negativo</v>
      </c>
    </row>
    <row r="20" spans="1:8" x14ac:dyDescent="0.35">
      <c r="A20" s="7" t="s">
        <v>73</v>
      </c>
      <c r="B20" s="7" t="s">
        <v>150</v>
      </c>
      <c r="C20" s="8">
        <v>393.32</v>
      </c>
      <c r="D20" s="7">
        <f>SUMIF(Entrada!B:B,A20,Entrada!D:D)</f>
        <v>335</v>
      </c>
      <c r="E20" s="7">
        <f>SUMIF(Saida!B:B,A20,Saida!D:D)</f>
        <v>164</v>
      </c>
      <c r="F20" s="7">
        <f t="shared" si="0"/>
        <v>171</v>
      </c>
      <c r="G20" s="8">
        <f>F20*(_xlfn.XLOOKUP(A20,Cadastro!A:A,Cadastro!E:E,,0))</f>
        <v>67257.72</v>
      </c>
      <c r="H20" s="7" t="str" cm="1">
        <f t="array" ref="H20">_xlfn.IFS(F20=0,"Obsoleto",F20&lt;0,"Estoque Negativo",AND(F20&gt;=1,F20&lt;=20),"Crítico",AND(F20&gt;=21,F20&lt;=100),"OK",F20&gt;100,"Excesso")</f>
        <v>Excesso</v>
      </c>
    </row>
    <row r="21" spans="1:8" x14ac:dyDescent="0.35">
      <c r="A21" s="7" t="s">
        <v>59</v>
      </c>
      <c r="B21" s="7" t="s">
        <v>158</v>
      </c>
      <c r="C21" s="8">
        <v>240.69</v>
      </c>
      <c r="D21" s="7">
        <f>SUMIF(Entrada!B:B,A21,Entrada!D:D)</f>
        <v>163</v>
      </c>
      <c r="E21" s="7">
        <f>SUMIF(Saida!B:B,A21,Saida!D:D)</f>
        <v>337</v>
      </c>
      <c r="F21" s="7">
        <f t="shared" si="0"/>
        <v>-174</v>
      </c>
      <c r="G21" s="8">
        <f>F21*(_xlfn.XLOOKUP(A21,Cadastro!A:A,Cadastro!E:E,,0))</f>
        <v>-41880.06</v>
      </c>
      <c r="H21" s="7" t="str" cm="1">
        <f t="array" ref="H21">_xlfn.IFS(F21=0,"Obsoleto",F21&lt;0,"Estoque Negativo",AND(F21&gt;=1,F21&lt;=20),"Crítico",AND(F21&gt;=21,F21&lt;=100),"OK",F21&gt;100,"Excesso")</f>
        <v>Estoque Negativo</v>
      </c>
    </row>
    <row r="22" spans="1:8" x14ac:dyDescent="0.35">
      <c r="A22" s="7" t="s">
        <v>38</v>
      </c>
      <c r="B22" s="7" t="s">
        <v>166</v>
      </c>
      <c r="C22" s="8">
        <v>477.8</v>
      </c>
      <c r="D22" s="7">
        <f>SUMIF(Entrada!B:B,A22,Entrada!D:D)</f>
        <v>388</v>
      </c>
      <c r="E22" s="7">
        <f>SUMIF(Saida!B:B,A22,Saida!D:D)</f>
        <v>81</v>
      </c>
      <c r="F22" s="7">
        <f t="shared" si="0"/>
        <v>307</v>
      </c>
      <c r="G22" s="8">
        <f>F22*(_xlfn.XLOOKUP(A22,Cadastro!A:A,Cadastro!E:E,,0))</f>
        <v>146684.6</v>
      </c>
      <c r="H22" s="7" t="str" cm="1">
        <f t="array" ref="H22">_xlfn.IFS(F22=0,"Obsoleto",F22&lt;0,"Estoque Negativo",AND(F22&gt;=1,F22&lt;=20),"Crítico",AND(F22&gt;=21,F22&lt;=100),"OK",F22&gt;100,"Excesso")</f>
        <v>Excesso</v>
      </c>
    </row>
    <row r="23" spans="1:8" x14ac:dyDescent="0.35">
      <c r="A23" s="7" t="s">
        <v>30</v>
      </c>
      <c r="B23" s="7" t="s">
        <v>150</v>
      </c>
      <c r="C23" s="8">
        <v>469.5</v>
      </c>
      <c r="D23" s="7">
        <f>SUMIF(Entrada!B:B,A23,Entrada!D:D)</f>
        <v>572</v>
      </c>
      <c r="E23" s="7">
        <f>SUMIF(Saida!B:B,A23,Saida!D:D)</f>
        <v>142</v>
      </c>
      <c r="F23" s="7">
        <f t="shared" si="0"/>
        <v>430</v>
      </c>
      <c r="G23" s="8">
        <f>F23*(_xlfn.XLOOKUP(A23,Cadastro!A:A,Cadastro!E:E,,0))</f>
        <v>201885</v>
      </c>
      <c r="H23" s="7" t="str" cm="1">
        <f t="array" ref="H23">_xlfn.IFS(F23=0,"Obsoleto",F23&lt;0,"Estoque Negativo",AND(F23&gt;=1,F23&lt;=20),"Crítico",AND(F23&gt;=21,F23&lt;=100),"OK",F23&gt;100,"Excesso")</f>
        <v>Excesso</v>
      </c>
    </row>
    <row r="24" spans="1:8" x14ac:dyDescent="0.35">
      <c r="A24" s="7" t="s">
        <v>116</v>
      </c>
      <c r="B24" s="7" t="s">
        <v>152</v>
      </c>
      <c r="C24" s="8">
        <v>435.65</v>
      </c>
      <c r="D24" s="7">
        <f>SUMIF(Entrada!B:B,A24,Entrada!D:D)</f>
        <v>715</v>
      </c>
      <c r="E24" s="7">
        <f>SUMIF(Saida!B:B,A24,Saida!D:D)</f>
        <v>96</v>
      </c>
      <c r="F24" s="7">
        <f t="shared" si="0"/>
        <v>619</v>
      </c>
      <c r="G24" s="8">
        <f>F24*(_xlfn.XLOOKUP(A24,Cadastro!A:A,Cadastro!E:E,,0))</f>
        <v>269667.34999999998</v>
      </c>
      <c r="H24" s="7" t="str" cm="1">
        <f t="array" ref="H24">_xlfn.IFS(F24=0,"Obsoleto",F24&lt;0,"Estoque Negativo",AND(F24&gt;=1,F24&lt;=20),"Crítico",AND(F24&gt;=21,F24&lt;=100),"OK",F24&gt;100,"Excesso")</f>
        <v>Excesso</v>
      </c>
    </row>
    <row r="25" spans="1:8" x14ac:dyDescent="0.35">
      <c r="A25" s="7" t="s">
        <v>36</v>
      </c>
      <c r="B25" s="7" t="s">
        <v>150</v>
      </c>
      <c r="C25" s="8">
        <v>491.38</v>
      </c>
      <c r="D25" s="7">
        <f>SUMIF(Entrada!B:B,A25,Entrada!D:D)</f>
        <v>267</v>
      </c>
      <c r="E25" s="7">
        <f>SUMIF(Saida!B:B,A25,Saida!D:D)</f>
        <v>224</v>
      </c>
      <c r="F25" s="7">
        <f t="shared" si="0"/>
        <v>43</v>
      </c>
      <c r="G25" s="8">
        <f>F25*(_xlfn.XLOOKUP(A25,Cadastro!A:A,Cadastro!E:E,,0))</f>
        <v>21129.34</v>
      </c>
      <c r="H25" s="7" t="str" cm="1">
        <f t="array" ref="H25">_xlfn.IFS(F25=0,"Obsoleto",F25&lt;0,"Estoque Negativo",AND(F25&gt;=1,F25&lt;=20),"Crítico",AND(F25&gt;=21,F25&lt;=100),"OK",F25&gt;100,"Excesso")</f>
        <v>OK</v>
      </c>
    </row>
    <row r="26" spans="1:8" x14ac:dyDescent="0.35">
      <c r="A26" s="7" t="s">
        <v>99</v>
      </c>
      <c r="B26" s="7" t="s">
        <v>148</v>
      </c>
      <c r="C26" s="8">
        <v>250.84</v>
      </c>
      <c r="D26" s="7">
        <f>SUMIF(Entrada!B:B,A26,Entrada!D:D)</f>
        <v>362</v>
      </c>
      <c r="E26" s="7">
        <f>SUMIF(Saida!B:B,A26,Saida!D:D)</f>
        <v>182</v>
      </c>
      <c r="F26" s="7">
        <f t="shared" si="0"/>
        <v>180</v>
      </c>
      <c r="G26" s="8">
        <f>F26*(_xlfn.XLOOKUP(A26,Cadastro!A:A,Cadastro!E:E,,0))</f>
        <v>45151.199999999997</v>
      </c>
      <c r="H26" s="7" t="str" cm="1">
        <f t="array" ref="H26">_xlfn.IFS(F26=0,"Obsoleto",F26&lt;0,"Estoque Negativo",AND(F26&gt;=1,F26&lt;=20),"Crítico",AND(F26&gt;=21,F26&lt;=100),"OK",F26&gt;100,"Excesso")</f>
        <v>Excesso</v>
      </c>
    </row>
    <row r="27" spans="1:8" x14ac:dyDescent="0.35">
      <c r="A27" s="7" t="s">
        <v>4</v>
      </c>
      <c r="B27" s="7" t="s">
        <v>158</v>
      </c>
      <c r="C27" s="8">
        <v>802.36</v>
      </c>
      <c r="D27" s="7">
        <f>SUMIF(Entrada!B:B,A27,Entrada!D:D)</f>
        <v>416</v>
      </c>
      <c r="E27" s="7">
        <f>SUMIF(Saida!B:B,A27,Saida!D:D)</f>
        <v>138</v>
      </c>
      <c r="F27" s="7">
        <f t="shared" si="0"/>
        <v>278</v>
      </c>
      <c r="G27" s="8">
        <f>F27*(_xlfn.XLOOKUP(A27,Cadastro!A:A,Cadastro!E:E,,0))</f>
        <v>223056.08000000002</v>
      </c>
      <c r="H27" s="7" t="str" cm="1">
        <f t="array" ref="H27">_xlfn.IFS(F27=0,"Obsoleto",F27&lt;0,"Estoque Negativo",AND(F27&gt;=1,F27&lt;=20),"Crítico",AND(F27&gt;=21,F27&lt;=100),"OK",F27&gt;100,"Excesso")</f>
        <v>Excesso</v>
      </c>
    </row>
    <row r="28" spans="1:8" x14ac:dyDescent="0.35">
      <c r="A28" s="7" t="s">
        <v>135</v>
      </c>
      <c r="B28" s="7" t="s">
        <v>166</v>
      </c>
      <c r="C28" s="8">
        <v>167.32</v>
      </c>
      <c r="D28" s="7">
        <f>SUMIF(Entrada!B:B,A28,Entrada!D:D)</f>
        <v>211</v>
      </c>
      <c r="E28" s="7">
        <f>SUMIF(Saida!B:B,A28,Saida!D:D)</f>
        <v>135</v>
      </c>
      <c r="F28" s="7">
        <f t="shared" si="0"/>
        <v>76</v>
      </c>
      <c r="G28" s="8">
        <f>F28*(_xlfn.XLOOKUP(A28,Cadastro!A:A,Cadastro!E:E,,0))</f>
        <v>12716.32</v>
      </c>
      <c r="H28" s="7" t="str" cm="1">
        <f t="array" ref="H28">_xlfn.IFS(F28=0,"Obsoleto",F28&lt;0,"Estoque Negativo",AND(F28&gt;=1,F28&lt;=20),"Crítico",AND(F28&gt;=21,F28&lt;=100),"OK",F28&gt;100,"Excesso")</f>
        <v>OK</v>
      </c>
    </row>
    <row r="29" spans="1:8" x14ac:dyDescent="0.35">
      <c r="A29" s="7" t="s">
        <v>23</v>
      </c>
      <c r="B29" s="7" t="s">
        <v>155</v>
      </c>
      <c r="C29" s="8">
        <v>120.79</v>
      </c>
      <c r="D29" s="7">
        <f>SUMIF(Entrada!B:B,A29,Entrada!D:D)</f>
        <v>252</v>
      </c>
      <c r="E29" s="7">
        <f>SUMIF(Saida!B:B,A29,Saida!D:D)</f>
        <v>194</v>
      </c>
      <c r="F29" s="7">
        <f t="shared" si="0"/>
        <v>58</v>
      </c>
      <c r="G29" s="8">
        <f>F29*(_xlfn.XLOOKUP(A29,Cadastro!A:A,Cadastro!E:E,,0))</f>
        <v>7005.8200000000006</v>
      </c>
      <c r="H29" s="7" t="str" cm="1">
        <f t="array" ref="H29">_xlfn.IFS(F29=0,"Obsoleto",F29&lt;0,"Estoque Negativo",AND(F29&gt;=1,F29&lt;=20),"Crítico",AND(F29&gt;=21,F29&lt;=100),"OK",F29&gt;100,"Excesso")</f>
        <v>OK</v>
      </c>
    </row>
    <row r="30" spans="1:8" x14ac:dyDescent="0.35">
      <c r="A30" s="7" t="s">
        <v>71</v>
      </c>
      <c r="B30" s="7" t="s">
        <v>150</v>
      </c>
      <c r="C30" s="8">
        <v>210.72</v>
      </c>
      <c r="D30" s="7">
        <f>SUMIF(Entrada!B:B,A30,Entrada!D:D)</f>
        <v>921</v>
      </c>
      <c r="E30" s="7">
        <f>SUMIF(Saida!B:B,A30,Saida!D:D)</f>
        <v>365</v>
      </c>
      <c r="F30" s="7">
        <f t="shared" si="0"/>
        <v>556</v>
      </c>
      <c r="G30" s="8">
        <f>F30*(_xlfn.XLOOKUP(A30,Cadastro!A:A,Cadastro!E:E,,0))</f>
        <v>117160.31999999999</v>
      </c>
      <c r="H30" s="7" t="str" cm="1">
        <f t="array" ref="H30">_xlfn.IFS(F30=0,"Obsoleto",F30&lt;0,"Estoque Negativo",AND(F30&gt;=1,F30&lt;=20),"Crítico",AND(F30&gt;=21,F30&lt;=100),"OK",F30&gt;100,"Excesso")</f>
        <v>Excesso</v>
      </c>
    </row>
    <row r="31" spans="1:8" x14ac:dyDescent="0.35">
      <c r="A31" s="7" t="s">
        <v>107</v>
      </c>
      <c r="B31" s="7" t="s">
        <v>158</v>
      </c>
      <c r="C31" s="8">
        <v>270.27</v>
      </c>
      <c r="D31" s="7">
        <f>SUMIF(Entrada!B:B,A31,Entrada!D:D)</f>
        <v>67</v>
      </c>
      <c r="E31" s="7">
        <f>SUMIF(Saida!B:B,A31,Saida!D:D)</f>
        <v>74</v>
      </c>
      <c r="F31" s="7">
        <f t="shared" si="0"/>
        <v>-7</v>
      </c>
      <c r="G31" s="8">
        <f>F31*(_xlfn.XLOOKUP(A31,Cadastro!A:A,Cadastro!E:E,,0))</f>
        <v>-1891.8899999999999</v>
      </c>
      <c r="H31" s="7" t="str" cm="1">
        <f t="array" ref="H31">_xlfn.IFS(F31=0,"Obsoleto",F31&lt;0,"Estoque Negativo",AND(F31&gt;=1,F31&lt;=20),"Crítico",AND(F31&gt;=21,F31&lt;=100),"OK",F31&gt;100,"Excesso")</f>
        <v>Estoque Negativo</v>
      </c>
    </row>
    <row r="32" spans="1:8" x14ac:dyDescent="0.35">
      <c r="A32" s="7" t="s">
        <v>136</v>
      </c>
      <c r="B32" s="7" t="s">
        <v>152</v>
      </c>
      <c r="C32" s="8">
        <v>711.1</v>
      </c>
      <c r="D32" s="7">
        <f>SUMIF(Entrada!B:B,A32,Entrada!D:D)</f>
        <v>312</v>
      </c>
      <c r="E32" s="7">
        <f>SUMIF(Saida!B:B,A32,Saida!D:D)</f>
        <v>289</v>
      </c>
      <c r="F32" s="7">
        <f t="shared" si="0"/>
        <v>23</v>
      </c>
      <c r="G32" s="8">
        <f>F32*(_xlfn.XLOOKUP(A32,Cadastro!A:A,Cadastro!E:E,,0))</f>
        <v>16355.300000000001</v>
      </c>
      <c r="H32" s="7" t="str" cm="1">
        <f t="array" ref="H32">_xlfn.IFS(F32=0,"Obsoleto",F32&lt;0,"Estoque Negativo",AND(F32&gt;=1,F32&lt;=20),"Crítico",AND(F32&gt;=21,F32&lt;=100),"OK",F32&gt;100,"Excesso")</f>
        <v>OK</v>
      </c>
    </row>
    <row r="33" spans="1:8" x14ac:dyDescent="0.35">
      <c r="A33" s="7" t="s">
        <v>88</v>
      </c>
      <c r="B33" s="7" t="s">
        <v>150</v>
      </c>
      <c r="C33" s="8">
        <v>823.71</v>
      </c>
      <c r="D33" s="7">
        <f>SUMIF(Entrada!B:B,A33,Entrada!D:D)</f>
        <v>404</v>
      </c>
      <c r="E33" s="7">
        <f>SUMIF(Saida!B:B,A33,Saida!D:D)</f>
        <v>108</v>
      </c>
      <c r="F33" s="7">
        <f t="shared" si="0"/>
        <v>296</v>
      </c>
      <c r="G33" s="8">
        <f>F33*(_xlfn.XLOOKUP(A33,Cadastro!A:A,Cadastro!E:E,,0))</f>
        <v>243818.16</v>
      </c>
      <c r="H33" s="7" t="str" cm="1">
        <f t="array" ref="H33">_xlfn.IFS(F33=0,"Obsoleto",F33&lt;0,"Estoque Negativo",AND(F33&gt;=1,F33&lt;=20),"Crítico",AND(F33&gt;=21,F33&lt;=100),"OK",F33&gt;100,"Excesso")</f>
        <v>Excesso</v>
      </c>
    </row>
    <row r="34" spans="1:8" x14ac:dyDescent="0.35">
      <c r="A34" s="7" t="s">
        <v>14</v>
      </c>
      <c r="B34" s="7" t="s">
        <v>152</v>
      </c>
      <c r="C34" s="8">
        <v>107.76</v>
      </c>
      <c r="D34" s="7">
        <f>SUMIF(Entrada!B:B,A34,Entrada!D:D)</f>
        <v>264</v>
      </c>
      <c r="E34" s="7">
        <f>SUMIF(Saida!B:B,A34,Saida!D:D)</f>
        <v>217</v>
      </c>
      <c r="F34" s="7">
        <f t="shared" si="0"/>
        <v>47</v>
      </c>
      <c r="G34" s="8">
        <f>F34*(_xlfn.XLOOKUP(A34,Cadastro!A:A,Cadastro!E:E,,0))</f>
        <v>5064.72</v>
      </c>
      <c r="H34" s="7" t="str" cm="1">
        <f t="array" ref="H34">_xlfn.IFS(F34=0,"Obsoleto",F34&lt;0,"Estoque Negativo",AND(F34&gt;=1,F34&lt;=20),"Crítico",AND(F34&gt;=21,F34&lt;=100),"OK",F34&gt;100,"Excesso")</f>
        <v>OK</v>
      </c>
    </row>
    <row r="35" spans="1:8" x14ac:dyDescent="0.35">
      <c r="A35" s="7" t="s">
        <v>120</v>
      </c>
      <c r="B35" s="7" t="s">
        <v>155</v>
      </c>
      <c r="C35" s="8">
        <v>653.64</v>
      </c>
      <c r="D35" s="7">
        <f>SUMIF(Entrada!B:B,A35,Entrada!D:D)</f>
        <v>241</v>
      </c>
      <c r="E35" s="7">
        <f>SUMIF(Saida!B:B,A35,Saida!D:D)</f>
        <v>183</v>
      </c>
      <c r="F35" s="7">
        <f t="shared" si="0"/>
        <v>58</v>
      </c>
      <c r="G35" s="8">
        <f>F35*(_xlfn.XLOOKUP(A35,Cadastro!A:A,Cadastro!E:E,,0))</f>
        <v>37911.120000000003</v>
      </c>
      <c r="H35" s="7" t="str" cm="1">
        <f t="array" ref="H35">_xlfn.IFS(F35=0,"Obsoleto",F35&lt;0,"Estoque Negativo",AND(F35&gt;=1,F35&lt;=20),"Crítico",AND(F35&gt;=21,F35&lt;=100),"OK",F35&gt;100,"Excesso")</f>
        <v>OK</v>
      </c>
    </row>
    <row r="36" spans="1:8" x14ac:dyDescent="0.35">
      <c r="A36" s="7" t="s">
        <v>133</v>
      </c>
      <c r="B36" s="7" t="s">
        <v>155</v>
      </c>
      <c r="C36" s="8">
        <v>252.85</v>
      </c>
      <c r="D36" s="7">
        <f>SUMIF(Entrada!B:B,A36,Entrada!D:D)</f>
        <v>11</v>
      </c>
      <c r="E36" s="7">
        <f>SUMIF(Saida!B:B,A36,Saida!D:D)</f>
        <v>272</v>
      </c>
      <c r="F36" s="7">
        <f t="shared" si="0"/>
        <v>-261</v>
      </c>
      <c r="G36" s="8">
        <f>F36*(_xlfn.XLOOKUP(A36,Cadastro!A:A,Cadastro!E:E,,0))</f>
        <v>-65993.849999999991</v>
      </c>
      <c r="H36" s="7" t="str" cm="1">
        <f t="array" ref="H36">_xlfn.IFS(F36=0,"Obsoleto",F36&lt;0,"Estoque Negativo",AND(F36&gt;=1,F36&lt;=20),"Crítico",AND(F36&gt;=21,F36&lt;=100),"OK",F36&gt;100,"Excesso")</f>
        <v>Estoque Negativo</v>
      </c>
    </row>
    <row r="37" spans="1:8" x14ac:dyDescent="0.35">
      <c r="A37" s="7" t="s">
        <v>29</v>
      </c>
      <c r="B37" s="7" t="s">
        <v>152</v>
      </c>
      <c r="C37" s="8">
        <v>775.44</v>
      </c>
      <c r="D37" s="7">
        <f>SUMIF(Entrada!B:B,A37,Entrada!D:D)</f>
        <v>238</v>
      </c>
      <c r="E37" s="7">
        <f>SUMIF(Saida!B:B,A37,Saida!D:D)</f>
        <v>221</v>
      </c>
      <c r="F37" s="7">
        <f t="shared" si="0"/>
        <v>17</v>
      </c>
      <c r="G37" s="8">
        <f>F37*(_xlfn.XLOOKUP(A37,Cadastro!A:A,Cadastro!E:E,,0))</f>
        <v>13182.480000000001</v>
      </c>
      <c r="H37" s="7" t="str" cm="1">
        <f t="array" ref="H37">_xlfn.IFS(F37=0,"Obsoleto",F37&lt;0,"Estoque Negativo",AND(F37&gt;=1,F37&lt;=20),"Crítico",AND(F37&gt;=21,F37&lt;=100),"OK",F37&gt;100,"Excesso")</f>
        <v>Crítico</v>
      </c>
    </row>
    <row r="38" spans="1:8" x14ac:dyDescent="0.35">
      <c r="A38" s="7" t="s">
        <v>12</v>
      </c>
      <c r="B38" s="7" t="s">
        <v>158</v>
      </c>
      <c r="C38" s="8">
        <v>200.74</v>
      </c>
      <c r="D38" s="7">
        <f>SUMIF(Entrada!B:B,A38,Entrada!D:D)</f>
        <v>428</v>
      </c>
      <c r="E38" s="7">
        <f>SUMIF(Saida!B:B,A38,Saida!D:D)</f>
        <v>133</v>
      </c>
      <c r="F38" s="7">
        <f t="shared" si="0"/>
        <v>295</v>
      </c>
      <c r="G38" s="8">
        <f>F38*(_xlfn.XLOOKUP(A38,Cadastro!A:A,Cadastro!E:E,,0))</f>
        <v>59218.3</v>
      </c>
      <c r="H38" s="7" t="str" cm="1">
        <f t="array" ref="H38">_xlfn.IFS(F38=0,"Obsoleto",F38&lt;0,"Estoque Negativo",AND(F38&gt;=1,F38&lt;=20),"Crítico",AND(F38&gt;=21,F38&lt;=100),"OK",F38&gt;100,"Excesso")</f>
        <v>Excesso</v>
      </c>
    </row>
    <row r="39" spans="1:8" x14ac:dyDescent="0.35">
      <c r="A39" s="7" t="s">
        <v>127</v>
      </c>
      <c r="B39" s="7" t="s">
        <v>166</v>
      </c>
      <c r="C39" s="8">
        <v>347.43</v>
      </c>
      <c r="D39" s="7">
        <f>SUMIF(Entrada!B:B,A39,Entrada!D:D)</f>
        <v>218</v>
      </c>
      <c r="E39" s="7">
        <f>SUMIF(Saida!B:B,A39,Saida!D:D)</f>
        <v>165</v>
      </c>
      <c r="F39" s="7">
        <f t="shared" si="0"/>
        <v>53</v>
      </c>
      <c r="G39" s="8">
        <f>F39*(_xlfn.XLOOKUP(A39,Cadastro!A:A,Cadastro!E:E,,0))</f>
        <v>18413.79</v>
      </c>
      <c r="H39" s="7" t="str" cm="1">
        <f t="array" ref="H39">_xlfn.IFS(F39=0,"Obsoleto",F39&lt;0,"Estoque Negativo",AND(F39&gt;=1,F39&lt;=20),"Crítico",AND(F39&gt;=21,F39&lt;=100),"OK",F39&gt;100,"Excesso")</f>
        <v>OK</v>
      </c>
    </row>
    <row r="40" spans="1:8" x14ac:dyDescent="0.35">
      <c r="A40" s="7" t="s">
        <v>126</v>
      </c>
      <c r="B40" s="7" t="s">
        <v>148</v>
      </c>
      <c r="C40" s="8">
        <v>705.93</v>
      </c>
      <c r="D40" s="7">
        <f>SUMIF(Entrada!B:B,A40,Entrada!D:D)</f>
        <v>402</v>
      </c>
      <c r="E40" s="7">
        <f>SUMIF(Saida!B:B,A40,Saida!D:D)</f>
        <v>137</v>
      </c>
      <c r="F40" s="7">
        <f t="shared" si="0"/>
        <v>265</v>
      </c>
      <c r="G40" s="8">
        <f>F40*(_xlfn.XLOOKUP(A40,Cadastro!A:A,Cadastro!E:E,,0))</f>
        <v>187071.44999999998</v>
      </c>
      <c r="H40" s="7" t="str" cm="1">
        <f t="array" ref="H40">_xlfn.IFS(F40=0,"Obsoleto",F40&lt;0,"Estoque Negativo",AND(F40&gt;=1,F40&lt;=20),"Crítico",AND(F40&gt;=21,F40&lt;=100),"OK",F40&gt;100,"Excesso")</f>
        <v>Excesso</v>
      </c>
    </row>
    <row r="41" spans="1:8" x14ac:dyDescent="0.35">
      <c r="A41" s="7" t="s">
        <v>130</v>
      </c>
      <c r="B41" s="7" t="s">
        <v>166</v>
      </c>
      <c r="C41" s="8">
        <v>365.28</v>
      </c>
      <c r="D41" s="7">
        <f>SUMIF(Entrada!B:B,A41,Entrada!D:D)</f>
        <v>80</v>
      </c>
      <c r="E41" s="7">
        <f>SUMIF(Saida!B:B,A41,Saida!D:D)</f>
        <v>139</v>
      </c>
      <c r="F41" s="7">
        <f t="shared" si="0"/>
        <v>-59</v>
      </c>
      <c r="G41" s="8">
        <f>F41*(_xlfn.XLOOKUP(A41,Cadastro!A:A,Cadastro!E:E,,0))</f>
        <v>-21551.519999999997</v>
      </c>
      <c r="H41" s="7" t="str" cm="1">
        <f t="array" ref="H41">_xlfn.IFS(F41=0,"Obsoleto",F41&lt;0,"Estoque Negativo",AND(F41&gt;=1,F41&lt;=20),"Crítico",AND(F41&gt;=21,F41&lt;=100),"OK",F41&gt;100,"Excesso")</f>
        <v>Estoque Negativo</v>
      </c>
    </row>
    <row r="42" spans="1:8" x14ac:dyDescent="0.35">
      <c r="A42" s="7" t="s">
        <v>76</v>
      </c>
      <c r="B42" s="7" t="s">
        <v>155</v>
      </c>
      <c r="C42" s="8">
        <v>536.77</v>
      </c>
      <c r="D42" s="7">
        <f>SUMIF(Entrada!B:B,A42,Entrada!D:D)</f>
        <v>242</v>
      </c>
      <c r="E42" s="7">
        <f>SUMIF(Saida!B:B,A42,Saida!D:D)</f>
        <v>97</v>
      </c>
      <c r="F42" s="7">
        <f t="shared" si="0"/>
        <v>145</v>
      </c>
      <c r="G42" s="8">
        <f>F42*(_xlfn.XLOOKUP(A42,Cadastro!A:A,Cadastro!E:E,,0))</f>
        <v>77831.649999999994</v>
      </c>
      <c r="H42" s="7" t="str" cm="1">
        <f t="array" ref="H42">_xlfn.IFS(F42=0,"Obsoleto",F42&lt;0,"Estoque Negativo",AND(F42&gt;=1,F42&lt;=20),"Crítico",AND(F42&gt;=21,F42&lt;=100),"OK",F42&gt;100,"Excesso")</f>
        <v>Excesso</v>
      </c>
    </row>
    <row r="43" spans="1:8" x14ac:dyDescent="0.35">
      <c r="A43" s="7" t="s">
        <v>112</v>
      </c>
      <c r="B43" s="7" t="s">
        <v>148</v>
      </c>
      <c r="C43" s="8">
        <v>877.23</v>
      </c>
      <c r="D43" s="7">
        <f>SUMIF(Entrada!B:B,A43,Entrada!D:D)</f>
        <v>258</v>
      </c>
      <c r="E43" s="7">
        <f>SUMIF(Saida!B:B,A43,Saida!D:D)</f>
        <v>231</v>
      </c>
      <c r="F43" s="7">
        <f t="shared" si="0"/>
        <v>27</v>
      </c>
      <c r="G43" s="8">
        <f>F43*(_xlfn.XLOOKUP(A43,Cadastro!A:A,Cadastro!E:E,,0))</f>
        <v>23685.21</v>
      </c>
      <c r="H43" s="7" t="str" cm="1">
        <f t="array" ref="H43">_xlfn.IFS(F43=0,"Obsoleto",F43&lt;0,"Estoque Negativo",AND(F43&gt;=1,F43&lt;=20),"Crítico",AND(F43&gt;=21,F43&lt;=100),"OK",F43&gt;100,"Excesso")</f>
        <v>OK</v>
      </c>
    </row>
    <row r="44" spans="1:8" x14ac:dyDescent="0.35">
      <c r="A44" s="7" t="s">
        <v>139</v>
      </c>
      <c r="B44" s="7" t="s">
        <v>158</v>
      </c>
      <c r="C44" s="8">
        <v>379.85</v>
      </c>
      <c r="D44" s="7">
        <f>SUMIF(Entrada!B:B,A44,Entrada!D:D)</f>
        <v>129</v>
      </c>
      <c r="E44" s="7">
        <f>SUMIF(Saida!B:B,A44,Saida!D:D)</f>
        <v>176</v>
      </c>
      <c r="F44" s="7">
        <f t="shared" si="0"/>
        <v>-47</v>
      </c>
      <c r="G44" s="8">
        <f>F44*(_xlfn.XLOOKUP(A44,Cadastro!A:A,Cadastro!E:E,,0))</f>
        <v>-17852.95</v>
      </c>
      <c r="H44" s="7" t="str" cm="1">
        <f t="array" ref="H44">_xlfn.IFS(F44=0,"Obsoleto",F44&lt;0,"Estoque Negativo",AND(F44&gt;=1,F44&lt;=20),"Crítico",AND(F44&gt;=21,F44&lt;=100),"OK",F44&gt;100,"Excesso")</f>
        <v>Estoque Negativo</v>
      </c>
    </row>
    <row r="45" spans="1:8" x14ac:dyDescent="0.35">
      <c r="A45" s="7" t="s">
        <v>101</v>
      </c>
      <c r="B45" s="7" t="s">
        <v>155</v>
      </c>
      <c r="C45" s="8">
        <v>991.03</v>
      </c>
      <c r="D45" s="7">
        <f>SUMIF(Entrada!B:B,A45,Entrada!D:D)</f>
        <v>348</v>
      </c>
      <c r="E45" s="7">
        <f>SUMIF(Saida!B:B,A45,Saida!D:D)</f>
        <v>153</v>
      </c>
      <c r="F45" s="7">
        <f t="shared" si="0"/>
        <v>195</v>
      </c>
      <c r="G45" s="8">
        <f>F45*(_xlfn.XLOOKUP(A45,Cadastro!A:A,Cadastro!E:E,,0))</f>
        <v>193250.85</v>
      </c>
      <c r="H45" s="7" t="str" cm="1">
        <f t="array" ref="H45">_xlfn.IFS(F45=0,"Obsoleto",F45&lt;0,"Estoque Negativo",AND(F45&gt;=1,F45&lt;=20),"Crítico",AND(F45&gt;=21,F45&lt;=100),"OK",F45&gt;100,"Excesso")</f>
        <v>Excesso</v>
      </c>
    </row>
    <row r="46" spans="1:8" x14ac:dyDescent="0.35">
      <c r="A46" s="7" t="s">
        <v>97</v>
      </c>
      <c r="B46" s="7" t="s">
        <v>155</v>
      </c>
      <c r="C46" s="8">
        <v>174.26</v>
      </c>
      <c r="D46" s="7">
        <f>SUMIF(Entrada!B:B,A46,Entrada!D:D)</f>
        <v>297</v>
      </c>
      <c r="E46" s="7">
        <f>SUMIF(Saida!B:B,A46,Saida!D:D)</f>
        <v>160</v>
      </c>
      <c r="F46" s="7">
        <f t="shared" si="0"/>
        <v>137</v>
      </c>
      <c r="G46" s="8">
        <f>F46*(_xlfn.XLOOKUP(A46,Cadastro!A:A,Cadastro!E:E,,0))</f>
        <v>23873.62</v>
      </c>
      <c r="H46" s="7" t="str" cm="1">
        <f t="array" ref="H46">_xlfn.IFS(F46=0,"Obsoleto",F46&lt;0,"Estoque Negativo",AND(F46&gt;=1,F46&lt;=20),"Crítico",AND(F46&gt;=21,F46&lt;=100),"OK",F46&gt;100,"Excesso")</f>
        <v>Excesso</v>
      </c>
    </row>
    <row r="47" spans="1:8" x14ac:dyDescent="0.35">
      <c r="A47" s="7" t="s">
        <v>15</v>
      </c>
      <c r="B47" s="7" t="s">
        <v>160</v>
      </c>
      <c r="C47" s="8">
        <v>339.98</v>
      </c>
      <c r="D47" s="7">
        <f>SUMIF(Entrada!B:B,A47,Entrada!D:D)</f>
        <v>116</v>
      </c>
      <c r="E47" s="7">
        <f>SUMIF(Saida!B:B,A47,Saida!D:D)</f>
        <v>154</v>
      </c>
      <c r="F47" s="7">
        <f t="shared" si="0"/>
        <v>-38</v>
      </c>
      <c r="G47" s="8">
        <f>F47*(_xlfn.XLOOKUP(A47,Cadastro!A:A,Cadastro!E:E,,0))</f>
        <v>-12919.240000000002</v>
      </c>
      <c r="H47" s="7" t="str" cm="1">
        <f t="array" ref="H47">_xlfn.IFS(F47=0,"Obsoleto",F47&lt;0,"Estoque Negativo",AND(F47&gt;=1,F47&lt;=20),"Crítico",AND(F47&gt;=21,F47&lt;=100),"OK",F47&gt;100,"Excesso")</f>
        <v>Estoque Negativo</v>
      </c>
    </row>
    <row r="48" spans="1:8" x14ac:dyDescent="0.35">
      <c r="A48" s="7" t="s">
        <v>106</v>
      </c>
      <c r="B48" s="7" t="s">
        <v>148</v>
      </c>
      <c r="C48" s="8">
        <v>143.75</v>
      </c>
      <c r="D48" s="7">
        <f>SUMIF(Entrada!B:B,A48,Entrada!D:D)</f>
        <v>297</v>
      </c>
      <c r="E48" s="7">
        <f>SUMIF(Saida!B:B,A48,Saida!D:D)</f>
        <v>17</v>
      </c>
      <c r="F48" s="7">
        <f t="shared" si="0"/>
        <v>280</v>
      </c>
      <c r="G48" s="8">
        <f>F48*(_xlfn.XLOOKUP(A48,Cadastro!A:A,Cadastro!E:E,,0))</f>
        <v>40250</v>
      </c>
      <c r="H48" s="7" t="str" cm="1">
        <f t="array" ref="H48">_xlfn.IFS(F48=0,"Obsoleto",F48&lt;0,"Estoque Negativo",AND(F48&gt;=1,F48&lt;=20),"Crítico",AND(F48&gt;=21,F48&lt;=100),"OK",F48&gt;100,"Excesso")</f>
        <v>Excesso</v>
      </c>
    </row>
    <row r="49" spans="1:8" x14ac:dyDescent="0.35">
      <c r="A49" s="7" t="s">
        <v>142</v>
      </c>
      <c r="B49" s="7" t="s">
        <v>166</v>
      </c>
      <c r="C49" s="8">
        <v>124.79</v>
      </c>
      <c r="D49" s="7">
        <f>SUMIF(Entrada!B:B,A49,Entrada!D:D)</f>
        <v>0</v>
      </c>
      <c r="E49" s="7">
        <f>SUMIF(Saida!B:B,A49,Saida!D:D)</f>
        <v>99</v>
      </c>
      <c r="F49" s="7">
        <f t="shared" si="0"/>
        <v>-99</v>
      </c>
      <c r="G49" s="8">
        <f>F49*(_xlfn.XLOOKUP(A49,Cadastro!A:A,Cadastro!E:E,,0))</f>
        <v>-12354.210000000001</v>
      </c>
      <c r="H49" s="7" t="str" cm="1">
        <f t="array" ref="H49">_xlfn.IFS(F49=0,"Obsoleto",F49&lt;0,"Estoque Negativo",AND(F49&gt;=1,F49&lt;=20),"Crítico",AND(F49&gt;=21,F49&lt;=100),"OK",F49&gt;100,"Excesso")</f>
        <v>Estoque Negativo</v>
      </c>
    </row>
    <row r="50" spans="1:8" x14ac:dyDescent="0.35">
      <c r="A50" s="7" t="s">
        <v>21</v>
      </c>
      <c r="B50" s="7" t="s">
        <v>158</v>
      </c>
      <c r="C50" s="8">
        <v>539.37</v>
      </c>
      <c r="D50" s="7">
        <f>SUMIF(Entrada!B:B,A50,Entrada!D:D)</f>
        <v>407</v>
      </c>
      <c r="E50" s="7">
        <f>SUMIF(Saida!B:B,A50,Saida!D:D)</f>
        <v>212</v>
      </c>
      <c r="F50" s="7">
        <f t="shared" si="0"/>
        <v>195</v>
      </c>
      <c r="G50" s="8">
        <f>F50*(_xlfn.XLOOKUP(A50,Cadastro!A:A,Cadastro!E:E,,0))</f>
        <v>105177.15</v>
      </c>
      <c r="H50" s="7" t="str" cm="1">
        <f t="array" ref="H50">_xlfn.IFS(F50=0,"Obsoleto",F50&lt;0,"Estoque Negativo",AND(F50&gt;=1,F50&lt;=20),"Crítico",AND(F50&gt;=21,F50&lt;=100),"OK",F50&gt;100,"Excesso")</f>
        <v>Excesso</v>
      </c>
    </row>
    <row r="51" spans="1:8" x14ac:dyDescent="0.35">
      <c r="A51" s="7" t="s">
        <v>6</v>
      </c>
      <c r="B51" s="7" t="s">
        <v>148</v>
      </c>
      <c r="C51" s="8">
        <v>121.42</v>
      </c>
      <c r="D51" s="7">
        <f>SUMIF(Entrada!B:B,A51,Entrada!D:D)</f>
        <v>327</v>
      </c>
      <c r="E51" s="7">
        <f>SUMIF(Saida!B:B,A51,Saida!D:D)</f>
        <v>202</v>
      </c>
      <c r="F51" s="7">
        <f t="shared" si="0"/>
        <v>125</v>
      </c>
      <c r="G51" s="8">
        <f>F51*(_xlfn.XLOOKUP(A51,Cadastro!A:A,Cadastro!E:E,,0))</f>
        <v>15177.5</v>
      </c>
      <c r="H51" s="7" t="str" cm="1">
        <f t="array" ref="H51">_xlfn.IFS(F51=0,"Obsoleto",F51&lt;0,"Estoque Negativo",AND(F51&gt;=1,F51&lt;=20),"Crítico",AND(F51&gt;=21,F51&lt;=100),"OK",F51&gt;100,"Excesso")</f>
        <v>Excesso</v>
      </c>
    </row>
    <row r="52" spans="1:8" x14ac:dyDescent="0.35">
      <c r="A52" s="7" t="s">
        <v>54</v>
      </c>
      <c r="B52" s="7" t="s">
        <v>152</v>
      </c>
      <c r="C52" s="8">
        <v>188.17</v>
      </c>
      <c r="D52" s="7">
        <f>SUMIF(Entrada!B:B,A52,Entrada!D:D)</f>
        <v>169</v>
      </c>
      <c r="E52" s="7">
        <f>SUMIF(Saida!B:B,A52,Saida!D:D)</f>
        <v>107</v>
      </c>
      <c r="F52" s="7">
        <f t="shared" si="0"/>
        <v>62</v>
      </c>
      <c r="G52" s="8">
        <f>F52*(_xlfn.XLOOKUP(A52,Cadastro!A:A,Cadastro!E:E,,0))</f>
        <v>11666.539999999999</v>
      </c>
      <c r="H52" s="7" t="str" cm="1">
        <f t="array" ref="H52">_xlfn.IFS(F52=0,"Obsoleto",F52&lt;0,"Estoque Negativo",AND(F52&gt;=1,F52&lt;=20),"Crítico",AND(F52&gt;=21,F52&lt;=100),"OK",F52&gt;100,"Excesso")</f>
        <v>OK</v>
      </c>
    </row>
    <row r="53" spans="1:8" x14ac:dyDescent="0.35">
      <c r="A53" s="7" t="s">
        <v>11</v>
      </c>
      <c r="B53" s="7" t="s">
        <v>160</v>
      </c>
      <c r="C53" s="8">
        <v>216.51</v>
      </c>
      <c r="D53" s="7">
        <f>SUMIF(Entrada!B:B,A53,Entrada!D:D)</f>
        <v>405</v>
      </c>
      <c r="E53" s="7">
        <f>SUMIF(Saida!B:B,A53,Saida!D:D)</f>
        <v>45</v>
      </c>
      <c r="F53" s="7">
        <f t="shared" si="0"/>
        <v>360</v>
      </c>
      <c r="G53" s="8">
        <f>F53*(_xlfn.XLOOKUP(A53,Cadastro!A:A,Cadastro!E:E,,0))</f>
        <v>77943.599999999991</v>
      </c>
      <c r="H53" s="7" t="str" cm="1">
        <f t="array" ref="H53">_xlfn.IFS(F53=0,"Obsoleto",F53&lt;0,"Estoque Negativo",AND(F53&gt;=1,F53&lt;=20),"Crítico",AND(F53&gt;=21,F53&lt;=100),"OK",F53&gt;100,"Excesso")</f>
        <v>Excesso</v>
      </c>
    </row>
    <row r="54" spans="1:8" x14ac:dyDescent="0.35">
      <c r="A54" s="7" t="s">
        <v>55</v>
      </c>
      <c r="B54" s="7" t="s">
        <v>166</v>
      </c>
      <c r="C54" s="8">
        <v>919.26</v>
      </c>
      <c r="D54" s="7">
        <f>SUMIF(Entrada!B:B,A54,Entrada!D:D)</f>
        <v>324</v>
      </c>
      <c r="E54" s="7">
        <f>SUMIF(Saida!B:B,A54,Saida!D:D)</f>
        <v>95</v>
      </c>
      <c r="F54" s="7">
        <f t="shared" si="0"/>
        <v>229</v>
      </c>
      <c r="G54" s="8">
        <f>F54*(_xlfn.XLOOKUP(A54,Cadastro!A:A,Cadastro!E:E,,0))</f>
        <v>210510.54</v>
      </c>
      <c r="H54" s="7" t="str" cm="1">
        <f t="array" ref="H54">_xlfn.IFS(F54=0,"Obsoleto",F54&lt;0,"Estoque Negativo",AND(F54&gt;=1,F54&lt;=20),"Crítico",AND(F54&gt;=21,F54&lt;=100),"OK",F54&gt;100,"Excesso")</f>
        <v>Excesso</v>
      </c>
    </row>
    <row r="55" spans="1:8" x14ac:dyDescent="0.35">
      <c r="A55" s="7" t="s">
        <v>35</v>
      </c>
      <c r="B55" s="7" t="s">
        <v>148</v>
      </c>
      <c r="C55" s="8">
        <v>504.18</v>
      </c>
      <c r="D55" s="7">
        <f>SUMIF(Entrada!B:B,A55,Entrada!D:D)</f>
        <v>655</v>
      </c>
      <c r="E55" s="7">
        <f>SUMIF(Saida!B:B,A55,Saida!D:D)</f>
        <v>64</v>
      </c>
      <c r="F55" s="7">
        <f t="shared" si="0"/>
        <v>591</v>
      </c>
      <c r="G55" s="8">
        <f>F55*(_xlfn.XLOOKUP(A55,Cadastro!A:A,Cadastro!E:E,,0))</f>
        <v>297970.38</v>
      </c>
      <c r="H55" s="7" t="str" cm="1">
        <f t="array" ref="H55">_xlfn.IFS(F55=0,"Obsoleto",F55&lt;0,"Estoque Negativo",AND(F55&gt;=1,F55&lt;=20),"Crítico",AND(F55&gt;=21,F55&lt;=100),"OK",F55&gt;100,"Excesso")</f>
        <v>Excesso</v>
      </c>
    </row>
    <row r="56" spans="1:8" x14ac:dyDescent="0.35">
      <c r="A56" s="7" t="s">
        <v>25</v>
      </c>
      <c r="B56" s="7" t="s">
        <v>166</v>
      </c>
      <c r="C56" s="8">
        <v>793.19</v>
      </c>
      <c r="D56" s="7">
        <f>SUMIF(Entrada!B:B,A56,Entrada!D:D)</f>
        <v>555</v>
      </c>
      <c r="E56" s="7">
        <f>SUMIF(Saida!B:B,A56,Saida!D:D)</f>
        <v>26</v>
      </c>
      <c r="F56" s="7">
        <f t="shared" si="0"/>
        <v>529</v>
      </c>
      <c r="G56" s="8">
        <f>F56*(_xlfn.XLOOKUP(A56,Cadastro!A:A,Cadastro!E:E,,0))</f>
        <v>419597.51</v>
      </c>
      <c r="H56" s="7" t="str" cm="1">
        <f t="array" ref="H56">_xlfn.IFS(F56=0,"Obsoleto",F56&lt;0,"Estoque Negativo",AND(F56&gt;=1,F56&lt;=20),"Crítico",AND(F56&gt;=21,F56&lt;=100),"OK",F56&gt;100,"Excesso")</f>
        <v>Excesso</v>
      </c>
    </row>
    <row r="57" spans="1:8" x14ac:dyDescent="0.35">
      <c r="A57" s="7" t="s">
        <v>121</v>
      </c>
      <c r="B57" s="7" t="s">
        <v>158</v>
      </c>
      <c r="C57" s="8">
        <v>542.75</v>
      </c>
      <c r="D57" s="7">
        <f>SUMIF(Entrada!B:B,A57,Entrada!D:D)</f>
        <v>238</v>
      </c>
      <c r="E57" s="7">
        <f>SUMIF(Saida!B:B,A57,Saida!D:D)</f>
        <v>105</v>
      </c>
      <c r="F57" s="7">
        <f t="shared" si="0"/>
        <v>133</v>
      </c>
      <c r="G57" s="8">
        <f>F57*(_xlfn.XLOOKUP(A57,Cadastro!A:A,Cadastro!E:E,,0))</f>
        <v>72185.75</v>
      </c>
      <c r="H57" s="7" t="str" cm="1">
        <f t="array" ref="H57">_xlfn.IFS(F57=0,"Obsoleto",F57&lt;0,"Estoque Negativo",AND(F57&gt;=1,F57&lt;=20),"Crítico",AND(F57&gt;=21,F57&lt;=100),"OK",F57&gt;100,"Excesso")</f>
        <v>Excesso</v>
      </c>
    </row>
    <row r="58" spans="1:8" x14ac:dyDescent="0.35">
      <c r="A58" s="7" t="s">
        <v>96</v>
      </c>
      <c r="B58" s="7" t="s">
        <v>150</v>
      </c>
      <c r="C58" s="8">
        <v>363.9</v>
      </c>
      <c r="D58" s="7">
        <f>SUMIF(Entrada!B:B,A58,Entrada!D:D)</f>
        <v>523</v>
      </c>
      <c r="E58" s="7">
        <f>SUMIF(Saida!B:B,A58,Saida!D:D)</f>
        <v>179</v>
      </c>
      <c r="F58" s="7">
        <f t="shared" si="0"/>
        <v>344</v>
      </c>
      <c r="G58" s="8">
        <f>F58*(_xlfn.XLOOKUP(A58,Cadastro!A:A,Cadastro!E:E,,0))</f>
        <v>125181.59999999999</v>
      </c>
      <c r="H58" s="7" t="str" cm="1">
        <f t="array" ref="H58">_xlfn.IFS(F58=0,"Obsoleto",F58&lt;0,"Estoque Negativo",AND(F58&gt;=1,F58&lt;=20),"Crítico",AND(F58&gt;=21,F58&lt;=100),"OK",F58&gt;100,"Excesso")</f>
        <v>Excesso</v>
      </c>
    </row>
    <row r="59" spans="1:8" x14ac:dyDescent="0.35">
      <c r="A59" s="7" t="s">
        <v>81</v>
      </c>
      <c r="B59" s="7" t="s">
        <v>150</v>
      </c>
      <c r="C59" s="8">
        <v>584.16999999999996</v>
      </c>
      <c r="D59" s="7">
        <f>SUMIF(Entrada!B:B,A59,Entrada!D:D)</f>
        <v>354</v>
      </c>
      <c r="E59" s="7">
        <f>SUMIF(Saida!B:B,A59,Saida!D:D)</f>
        <v>238</v>
      </c>
      <c r="F59" s="7">
        <f t="shared" si="0"/>
        <v>116</v>
      </c>
      <c r="G59" s="8">
        <f>F59*(_xlfn.XLOOKUP(A59,Cadastro!A:A,Cadastro!E:E,,0))</f>
        <v>67763.72</v>
      </c>
      <c r="H59" s="7" t="str" cm="1">
        <f t="array" ref="H59">_xlfn.IFS(F59=0,"Obsoleto",F59&lt;0,"Estoque Negativo",AND(F59&gt;=1,F59&lt;=20),"Crítico",AND(F59&gt;=21,F59&lt;=100),"OK",F59&gt;100,"Excesso")</f>
        <v>Excesso</v>
      </c>
    </row>
    <row r="60" spans="1:8" x14ac:dyDescent="0.35">
      <c r="A60" s="7" t="s">
        <v>17</v>
      </c>
      <c r="B60" s="7" t="s">
        <v>148</v>
      </c>
      <c r="C60" s="8">
        <v>820.78</v>
      </c>
      <c r="D60" s="7">
        <f>SUMIF(Entrada!B:B,A60,Entrada!D:D)</f>
        <v>406</v>
      </c>
      <c r="E60" s="7">
        <f>SUMIF(Saida!B:B,A60,Saida!D:D)</f>
        <v>346</v>
      </c>
      <c r="F60" s="7">
        <f t="shared" si="0"/>
        <v>60</v>
      </c>
      <c r="G60" s="8">
        <f>F60*(_xlfn.XLOOKUP(A60,Cadastro!A:A,Cadastro!E:E,,0))</f>
        <v>49246.799999999996</v>
      </c>
      <c r="H60" s="7" t="str" cm="1">
        <f t="array" ref="H60">_xlfn.IFS(F60=0,"Obsoleto",F60&lt;0,"Estoque Negativo",AND(F60&gt;=1,F60&lt;=20),"Crítico",AND(F60&gt;=21,F60&lt;=100),"OK",F60&gt;100,"Excesso")</f>
        <v>OK</v>
      </c>
    </row>
    <row r="61" spans="1:8" x14ac:dyDescent="0.35">
      <c r="A61" s="7" t="s">
        <v>43</v>
      </c>
      <c r="B61" s="7" t="s">
        <v>148</v>
      </c>
      <c r="C61" s="8">
        <v>92.41</v>
      </c>
      <c r="D61" s="7">
        <f>SUMIF(Entrada!B:B,A61,Entrada!D:D)</f>
        <v>448</v>
      </c>
      <c r="E61" s="7">
        <f>SUMIF(Saida!B:B,A61,Saida!D:D)</f>
        <v>71</v>
      </c>
      <c r="F61" s="7">
        <f t="shared" si="0"/>
        <v>377</v>
      </c>
      <c r="G61" s="8">
        <f>F61*(_xlfn.XLOOKUP(A61,Cadastro!A:A,Cadastro!E:E,,0))</f>
        <v>34838.57</v>
      </c>
      <c r="H61" s="7" t="str" cm="1">
        <f t="array" ref="H61">_xlfn.IFS(F61=0,"Obsoleto",F61&lt;0,"Estoque Negativo",AND(F61&gt;=1,F61&lt;=20),"Crítico",AND(F61&gt;=21,F61&lt;=100),"OK",F61&gt;100,"Excesso")</f>
        <v>Excesso</v>
      </c>
    </row>
    <row r="62" spans="1:8" x14ac:dyDescent="0.35">
      <c r="A62" s="7" t="s">
        <v>45</v>
      </c>
      <c r="B62" s="7" t="s">
        <v>150</v>
      </c>
      <c r="C62" s="8">
        <v>977.6</v>
      </c>
      <c r="D62" s="7">
        <f>SUMIF(Entrada!B:B,A62,Entrada!D:D)</f>
        <v>594</v>
      </c>
      <c r="E62" s="7">
        <f>SUMIF(Saida!B:B,A62,Saida!D:D)</f>
        <v>246</v>
      </c>
      <c r="F62" s="7">
        <f t="shared" si="0"/>
        <v>348</v>
      </c>
      <c r="G62" s="8">
        <f>F62*(_xlfn.XLOOKUP(A62,Cadastro!A:A,Cadastro!E:E,,0))</f>
        <v>340204.79999999999</v>
      </c>
      <c r="H62" s="7" t="str" cm="1">
        <f t="array" ref="H62">_xlfn.IFS(F62=0,"Obsoleto",F62&lt;0,"Estoque Negativo",AND(F62&gt;=1,F62&lt;=20),"Crítico",AND(F62&gt;=21,F62&lt;=100),"OK",F62&gt;100,"Excesso")</f>
        <v>Excesso</v>
      </c>
    </row>
    <row r="63" spans="1:8" x14ac:dyDescent="0.35">
      <c r="A63" s="7" t="s">
        <v>118</v>
      </c>
      <c r="B63" s="7" t="s">
        <v>152</v>
      </c>
      <c r="C63" s="8">
        <v>580.80999999999995</v>
      </c>
      <c r="D63" s="7">
        <f>SUMIF(Entrada!B:B,A63,Entrada!D:D)</f>
        <v>73</v>
      </c>
      <c r="E63" s="7">
        <f>SUMIF(Saida!B:B,A63,Saida!D:D)</f>
        <v>180</v>
      </c>
      <c r="F63" s="7">
        <f t="shared" si="0"/>
        <v>-107</v>
      </c>
      <c r="G63" s="8">
        <f>F63*(_xlfn.XLOOKUP(A63,Cadastro!A:A,Cadastro!E:E,,0))</f>
        <v>-62146.669999999991</v>
      </c>
      <c r="H63" s="7" t="str" cm="1">
        <f t="array" ref="H63">_xlfn.IFS(F63=0,"Obsoleto",F63&lt;0,"Estoque Negativo",AND(F63&gt;=1,F63&lt;=20),"Crítico",AND(F63&gt;=21,F63&lt;=100),"OK",F63&gt;100,"Excesso")</f>
        <v>Estoque Negativo</v>
      </c>
    </row>
    <row r="64" spans="1:8" x14ac:dyDescent="0.35">
      <c r="A64" s="7" t="s">
        <v>117</v>
      </c>
      <c r="B64" s="7" t="s">
        <v>166</v>
      </c>
      <c r="C64" s="8">
        <v>383.87</v>
      </c>
      <c r="D64" s="7">
        <f>SUMIF(Entrada!B:B,A64,Entrada!D:D)</f>
        <v>174</v>
      </c>
      <c r="E64" s="7">
        <f>SUMIF(Saida!B:B,A64,Saida!D:D)</f>
        <v>281</v>
      </c>
      <c r="F64" s="7">
        <f t="shared" si="0"/>
        <v>-107</v>
      </c>
      <c r="G64" s="8">
        <f>F64*(_xlfn.XLOOKUP(A64,Cadastro!A:A,Cadastro!E:E,,0))</f>
        <v>-41074.090000000004</v>
      </c>
      <c r="H64" s="7" t="str" cm="1">
        <f t="array" ref="H64">_xlfn.IFS(F64=0,"Obsoleto",F64&lt;0,"Estoque Negativo",AND(F64&gt;=1,F64&lt;=20),"Crítico",AND(F64&gt;=21,F64&lt;=100),"OK",F64&gt;100,"Excesso")</f>
        <v>Estoque Negativo</v>
      </c>
    </row>
    <row r="65" spans="1:8" x14ac:dyDescent="0.35">
      <c r="A65" s="7" t="s">
        <v>53</v>
      </c>
      <c r="B65" s="7" t="s">
        <v>166</v>
      </c>
      <c r="C65" s="8">
        <v>723.8</v>
      </c>
      <c r="D65" s="7">
        <f>SUMIF(Entrada!B:B,A65,Entrada!D:D)</f>
        <v>294</v>
      </c>
      <c r="E65" s="7">
        <f>SUMIF(Saida!B:B,A65,Saida!D:D)</f>
        <v>276</v>
      </c>
      <c r="F65" s="7">
        <f t="shared" si="0"/>
        <v>18</v>
      </c>
      <c r="G65" s="8">
        <f>F65*(_xlfn.XLOOKUP(A65,Cadastro!A:A,Cadastro!E:E,,0))</f>
        <v>13028.4</v>
      </c>
      <c r="H65" s="7" t="str" cm="1">
        <f t="array" ref="H65">_xlfn.IFS(F65=0,"Obsoleto",F65&lt;0,"Estoque Negativo",AND(F65&gt;=1,F65&lt;=20),"Crítico",AND(F65&gt;=21,F65&lt;=100),"OK",F65&gt;100,"Excesso")</f>
        <v>Crítico</v>
      </c>
    </row>
    <row r="66" spans="1:8" x14ac:dyDescent="0.35">
      <c r="A66" s="7" t="s">
        <v>72</v>
      </c>
      <c r="B66" s="7" t="s">
        <v>166</v>
      </c>
      <c r="C66" s="8">
        <v>503.07</v>
      </c>
      <c r="D66" s="7">
        <f>SUMIF(Entrada!B:B,A66,Entrada!D:D)</f>
        <v>209</v>
      </c>
      <c r="E66" s="7">
        <f>SUMIF(Saida!B:B,A66,Saida!D:D)</f>
        <v>273</v>
      </c>
      <c r="F66" s="7">
        <f t="shared" si="0"/>
        <v>-64</v>
      </c>
      <c r="G66" s="8">
        <f>F66*(_xlfn.XLOOKUP(A66,Cadastro!A:A,Cadastro!E:E,,0))</f>
        <v>-32196.48</v>
      </c>
      <c r="H66" s="7" t="str" cm="1">
        <f t="array" ref="H66">_xlfn.IFS(F66=0,"Obsoleto",F66&lt;0,"Estoque Negativo",AND(F66&gt;=1,F66&lt;=20),"Crítico",AND(F66&gt;=21,F66&lt;=100),"OK",F66&gt;100,"Excesso")</f>
        <v>Estoque Negativo</v>
      </c>
    </row>
    <row r="67" spans="1:8" x14ac:dyDescent="0.35">
      <c r="A67" s="7" t="s">
        <v>64</v>
      </c>
      <c r="B67" s="7" t="s">
        <v>150</v>
      </c>
      <c r="C67" s="8">
        <v>742.3</v>
      </c>
      <c r="D67" s="7">
        <f>SUMIF(Entrada!B:B,A67,Entrada!D:D)</f>
        <v>392</v>
      </c>
      <c r="E67" s="7">
        <f>SUMIF(Saida!B:B,A67,Saida!D:D)</f>
        <v>152</v>
      </c>
      <c r="F67" s="7">
        <f t="shared" si="0"/>
        <v>240</v>
      </c>
      <c r="G67" s="8">
        <f>F67*(_xlfn.XLOOKUP(A67,Cadastro!A:A,Cadastro!E:E,,0))</f>
        <v>178152</v>
      </c>
      <c r="H67" s="7" t="str" cm="1">
        <f t="array" ref="H67">_xlfn.IFS(F67=0,"Obsoleto",F67&lt;0,"Estoque Negativo",AND(F67&gt;=1,F67&lt;=20),"Crítico",AND(F67&gt;=21,F67&lt;=100),"OK",F67&gt;100,"Excesso")</f>
        <v>Excesso</v>
      </c>
    </row>
    <row r="68" spans="1:8" x14ac:dyDescent="0.35">
      <c r="A68" s="7" t="s">
        <v>37</v>
      </c>
      <c r="B68" s="7" t="s">
        <v>160</v>
      </c>
      <c r="C68" s="8">
        <v>506.5</v>
      </c>
      <c r="D68" s="7">
        <f>SUMIF(Entrada!B:B,A68,Entrada!D:D)</f>
        <v>291</v>
      </c>
      <c r="E68" s="7">
        <f>SUMIF(Saida!B:B,A68,Saida!D:D)</f>
        <v>70</v>
      </c>
      <c r="F68" s="7">
        <f t="shared" si="0"/>
        <v>221</v>
      </c>
      <c r="G68" s="8">
        <f>F68*(_xlfn.XLOOKUP(A68,Cadastro!A:A,Cadastro!E:E,,0))</f>
        <v>111936.5</v>
      </c>
      <c r="H68" s="7" t="str" cm="1">
        <f t="array" ref="H68">_xlfn.IFS(F68=0,"Obsoleto",F68&lt;0,"Estoque Negativo",AND(F68&gt;=1,F68&lt;=20),"Crítico",AND(F68&gt;=21,F68&lt;=100),"OK",F68&gt;100,"Excesso")</f>
        <v>Excesso</v>
      </c>
    </row>
    <row r="69" spans="1:8" x14ac:dyDescent="0.35">
      <c r="A69" s="7" t="s">
        <v>57</v>
      </c>
      <c r="B69" s="7" t="s">
        <v>160</v>
      </c>
      <c r="C69" s="8">
        <v>863.63</v>
      </c>
      <c r="D69" s="7">
        <f>SUMIF(Entrada!B:B,A69,Entrada!D:D)</f>
        <v>394</v>
      </c>
      <c r="E69" s="7">
        <f>SUMIF(Saida!B:B,A69,Saida!D:D)</f>
        <v>138</v>
      </c>
      <c r="F69" s="7">
        <f t="shared" si="0"/>
        <v>256</v>
      </c>
      <c r="G69" s="8">
        <f>F69*(_xlfn.XLOOKUP(A69,Cadastro!A:A,Cadastro!E:E,,0))</f>
        <v>221089.28</v>
      </c>
      <c r="H69" s="7" t="str" cm="1">
        <f t="array" ref="H69">_xlfn.IFS(F69=0,"Obsoleto",F69&lt;0,"Estoque Negativo",AND(F69&gt;=1,F69&lt;=20),"Crítico",AND(F69&gt;=21,F69&lt;=100),"OK",F69&gt;100,"Excesso")</f>
        <v>Excesso</v>
      </c>
    </row>
    <row r="70" spans="1:8" x14ac:dyDescent="0.35">
      <c r="A70" s="7" t="s">
        <v>9</v>
      </c>
      <c r="B70" s="7" t="s">
        <v>166</v>
      </c>
      <c r="C70" s="8">
        <v>577.42999999999995</v>
      </c>
      <c r="D70" s="7">
        <f>SUMIF(Entrada!B:B,A70,Entrada!D:D)</f>
        <v>298</v>
      </c>
      <c r="E70" s="7">
        <f>SUMIF(Saida!B:B,A70,Saida!D:D)</f>
        <v>244</v>
      </c>
      <c r="F70" s="7">
        <f t="shared" si="0"/>
        <v>54</v>
      </c>
      <c r="G70" s="8">
        <f>F70*(_xlfn.XLOOKUP(A70,Cadastro!A:A,Cadastro!E:E,,0))</f>
        <v>31181.219999999998</v>
      </c>
      <c r="H70" s="7" t="str" cm="1">
        <f t="array" ref="H70">_xlfn.IFS(F70=0,"Obsoleto",F70&lt;0,"Estoque Negativo",AND(F70&gt;=1,F70&lt;=20),"Crítico",AND(F70&gt;=21,F70&lt;=100),"OK",F70&gt;100,"Excesso")</f>
        <v>OK</v>
      </c>
    </row>
    <row r="71" spans="1:8" x14ac:dyDescent="0.35">
      <c r="A71" s="7" t="s">
        <v>68</v>
      </c>
      <c r="B71" s="7" t="s">
        <v>158</v>
      </c>
      <c r="C71" s="8">
        <v>588.87</v>
      </c>
      <c r="D71" s="7">
        <f>SUMIF(Entrada!B:B,A71,Entrada!D:D)</f>
        <v>321</v>
      </c>
      <c r="E71" s="7">
        <f>SUMIF(Saida!B:B,A71,Saida!D:D)</f>
        <v>193</v>
      </c>
      <c r="F71" s="7">
        <f t="shared" si="0"/>
        <v>128</v>
      </c>
      <c r="G71" s="8">
        <f>F71*(_xlfn.XLOOKUP(A71,Cadastro!A:A,Cadastro!E:E,,0))</f>
        <v>75375.360000000001</v>
      </c>
      <c r="H71" s="7" t="str" cm="1">
        <f t="array" ref="H71">_xlfn.IFS(F71=0,"Obsoleto",F71&lt;0,"Estoque Negativo",AND(F71&gt;=1,F71&lt;=20),"Crítico",AND(F71&gt;=21,F71&lt;=100),"OK",F71&gt;100,"Excesso")</f>
        <v>Excesso</v>
      </c>
    </row>
    <row r="72" spans="1:8" x14ac:dyDescent="0.35">
      <c r="A72" s="7" t="s">
        <v>138</v>
      </c>
      <c r="B72" s="7" t="s">
        <v>155</v>
      </c>
      <c r="C72" s="8">
        <v>741.36</v>
      </c>
      <c r="D72" s="7">
        <f>SUMIF(Entrada!B:B,A72,Entrada!D:D)</f>
        <v>131</v>
      </c>
      <c r="E72" s="7">
        <f>SUMIF(Saida!B:B,A72,Saida!D:D)</f>
        <v>197</v>
      </c>
      <c r="F72" s="7">
        <f t="shared" si="0"/>
        <v>-66</v>
      </c>
      <c r="G72" s="8">
        <f>F72*(_xlfn.XLOOKUP(A72,Cadastro!A:A,Cadastro!E:E,,0))</f>
        <v>-48929.760000000002</v>
      </c>
      <c r="H72" s="7" t="str" cm="1">
        <f t="array" ref="H72">_xlfn.IFS(F72=0,"Obsoleto",F72&lt;0,"Estoque Negativo",AND(F72&gt;=1,F72&lt;=20),"Crítico",AND(F72&gt;=21,F72&lt;=100),"OK",F72&gt;100,"Excesso")</f>
        <v>Estoque Negativo</v>
      </c>
    </row>
    <row r="73" spans="1:8" x14ac:dyDescent="0.35">
      <c r="A73" s="7" t="s">
        <v>49</v>
      </c>
      <c r="B73" s="7" t="s">
        <v>166</v>
      </c>
      <c r="C73" s="8">
        <v>89.57</v>
      </c>
      <c r="D73" s="7">
        <f>SUMIF(Entrada!B:B,A73,Entrada!D:D)</f>
        <v>404</v>
      </c>
      <c r="E73" s="7">
        <f>SUMIF(Saida!B:B,A73,Saida!D:D)</f>
        <v>208</v>
      </c>
      <c r="F73" s="7">
        <f t="shared" si="0"/>
        <v>196</v>
      </c>
      <c r="G73" s="8">
        <f>F73*(_xlfn.XLOOKUP(A73,Cadastro!A:A,Cadastro!E:E,,0))</f>
        <v>17555.719999999998</v>
      </c>
      <c r="H73" s="7" t="str" cm="1">
        <f t="array" ref="H73">_xlfn.IFS(F73=0,"Obsoleto",F73&lt;0,"Estoque Negativo",AND(F73&gt;=1,F73&lt;=20),"Crítico",AND(F73&gt;=21,F73&lt;=100),"OK",F73&gt;100,"Excesso")</f>
        <v>Excesso</v>
      </c>
    </row>
    <row r="74" spans="1:8" x14ac:dyDescent="0.35">
      <c r="A74" s="7" t="s">
        <v>42</v>
      </c>
      <c r="B74" s="7" t="s">
        <v>155</v>
      </c>
      <c r="C74" s="8">
        <v>560.16</v>
      </c>
      <c r="D74" s="7">
        <f>SUMIF(Entrada!B:B,A74,Entrada!D:D)</f>
        <v>495</v>
      </c>
      <c r="E74" s="7">
        <f>SUMIF(Saida!B:B,A74,Saida!D:D)</f>
        <v>201</v>
      </c>
      <c r="F74" s="7">
        <f t="shared" si="0"/>
        <v>294</v>
      </c>
      <c r="G74" s="8">
        <f>F74*(_xlfn.XLOOKUP(A74,Cadastro!A:A,Cadastro!E:E,,0))</f>
        <v>164687.03999999998</v>
      </c>
      <c r="H74" s="7" t="str" cm="1">
        <f t="array" ref="H74">_xlfn.IFS(F74=0,"Obsoleto",F74&lt;0,"Estoque Negativo",AND(F74&gt;=1,F74&lt;=20),"Crítico",AND(F74&gt;=21,F74&lt;=100),"OK",F74&gt;100,"Excesso")</f>
        <v>Excesso</v>
      </c>
    </row>
    <row r="75" spans="1:8" x14ac:dyDescent="0.35">
      <c r="A75" s="7" t="s">
        <v>140</v>
      </c>
      <c r="B75" s="7" t="s">
        <v>166</v>
      </c>
      <c r="C75" s="8">
        <v>306.18</v>
      </c>
      <c r="D75" s="7">
        <f>SUMIF(Entrada!B:B,A75,Entrada!D:D)</f>
        <v>8</v>
      </c>
      <c r="E75" s="7">
        <f>SUMIF(Saida!B:B,A75,Saida!D:D)</f>
        <v>215</v>
      </c>
      <c r="F75" s="7">
        <f t="shared" si="0"/>
        <v>-207</v>
      </c>
      <c r="G75" s="8">
        <f>F75*(_xlfn.XLOOKUP(A75,Cadastro!A:A,Cadastro!E:E,,0))</f>
        <v>-63379.26</v>
      </c>
      <c r="H75" s="7" t="str" cm="1">
        <f t="array" ref="H75">_xlfn.IFS(F75=0,"Obsoleto",F75&lt;0,"Estoque Negativo",AND(F75&gt;=1,F75&lt;=20),"Crítico",AND(F75&gt;=21,F75&lt;=100),"OK",F75&gt;100,"Excesso")</f>
        <v>Estoque Negativo</v>
      </c>
    </row>
    <row r="76" spans="1:8" x14ac:dyDescent="0.35">
      <c r="A76" s="7" t="s">
        <v>58</v>
      </c>
      <c r="B76" s="7" t="s">
        <v>158</v>
      </c>
      <c r="C76" s="8">
        <v>499.23</v>
      </c>
      <c r="D76" s="7">
        <f>SUMIF(Entrada!B:B,A76,Entrada!D:D)</f>
        <v>475</v>
      </c>
      <c r="E76" s="7">
        <f>SUMIF(Saida!B:B,A76,Saida!D:D)</f>
        <v>112</v>
      </c>
      <c r="F76" s="7">
        <f t="shared" si="0"/>
        <v>363</v>
      </c>
      <c r="G76" s="8">
        <f>F76*(_xlfn.XLOOKUP(A76,Cadastro!A:A,Cadastro!E:E,,0))</f>
        <v>181220.49000000002</v>
      </c>
      <c r="H76" s="7" t="str" cm="1">
        <f t="array" ref="H76">_xlfn.IFS(F76=0,"Obsoleto",F76&lt;0,"Estoque Negativo",AND(F76&gt;=1,F76&lt;=20),"Crítico",AND(F76&gt;=21,F76&lt;=100),"OK",F76&gt;100,"Excesso")</f>
        <v>Excesso</v>
      </c>
    </row>
    <row r="77" spans="1:8" x14ac:dyDescent="0.35">
      <c r="A77" s="7" t="s">
        <v>77</v>
      </c>
      <c r="B77" s="7" t="s">
        <v>160</v>
      </c>
      <c r="C77" s="8">
        <v>833.87</v>
      </c>
      <c r="D77" s="7">
        <f>SUMIF(Entrada!B:B,A77,Entrada!D:D)</f>
        <v>424</v>
      </c>
      <c r="E77" s="7">
        <f>SUMIF(Saida!B:B,A77,Saida!D:D)</f>
        <v>232</v>
      </c>
      <c r="F77" s="7">
        <f t="shared" si="0"/>
        <v>192</v>
      </c>
      <c r="G77" s="8">
        <f>F77*(_xlfn.XLOOKUP(A77,Cadastro!A:A,Cadastro!E:E,,0))</f>
        <v>160103.04000000001</v>
      </c>
      <c r="H77" s="7" t="str" cm="1">
        <f t="array" ref="H77">_xlfn.IFS(F77=0,"Obsoleto",F77&lt;0,"Estoque Negativo",AND(F77&gt;=1,F77&lt;=20),"Crítico",AND(F77&gt;=21,F77&lt;=100),"OK",F77&gt;100,"Excesso")</f>
        <v>Excesso</v>
      </c>
    </row>
    <row r="78" spans="1:8" x14ac:dyDescent="0.35">
      <c r="A78" s="7" t="s">
        <v>94</v>
      </c>
      <c r="B78" s="7" t="s">
        <v>155</v>
      </c>
      <c r="C78" s="8">
        <v>280.29000000000002</v>
      </c>
      <c r="D78" s="7">
        <f>SUMIF(Entrada!B:B,A78,Entrada!D:D)</f>
        <v>126</v>
      </c>
      <c r="E78" s="7">
        <f>SUMIF(Saida!B:B,A78,Saida!D:D)</f>
        <v>172</v>
      </c>
      <c r="F78" s="7">
        <f t="shared" si="0"/>
        <v>-46</v>
      </c>
      <c r="G78" s="8">
        <f>F78*(_xlfn.XLOOKUP(A78,Cadastro!A:A,Cadastro!E:E,,0))</f>
        <v>-12893.34</v>
      </c>
      <c r="H78" s="7" t="str" cm="1">
        <f t="array" ref="H78">_xlfn.IFS(F78=0,"Obsoleto",F78&lt;0,"Estoque Negativo",AND(F78&gt;=1,F78&lt;=20),"Crítico",AND(F78&gt;=21,F78&lt;=100),"OK",F78&gt;100,"Excesso")</f>
        <v>Estoque Negativo</v>
      </c>
    </row>
    <row r="79" spans="1:8" x14ac:dyDescent="0.35">
      <c r="A79" s="7" t="s">
        <v>83</v>
      </c>
      <c r="B79" s="7" t="s">
        <v>155</v>
      </c>
      <c r="C79" s="8">
        <v>818.42</v>
      </c>
      <c r="D79" s="7">
        <f>SUMIF(Entrada!B:B,A79,Entrada!D:D)</f>
        <v>410</v>
      </c>
      <c r="E79" s="7">
        <f>SUMIF(Saida!B:B,A79,Saida!D:D)</f>
        <v>154</v>
      </c>
      <c r="F79" s="7">
        <f t="shared" si="0"/>
        <v>256</v>
      </c>
      <c r="G79" s="8">
        <f>F79*(_xlfn.XLOOKUP(A79,Cadastro!A:A,Cadastro!E:E,,0))</f>
        <v>209515.51999999999</v>
      </c>
      <c r="H79" s="7" t="str" cm="1">
        <f t="array" ref="H79">_xlfn.IFS(F79=0,"Obsoleto",F79&lt;0,"Estoque Negativo",AND(F79&gt;=1,F79&lt;=20),"Crítico",AND(F79&gt;=21,F79&lt;=100),"OK",F79&gt;100,"Excesso")</f>
        <v>Excesso</v>
      </c>
    </row>
    <row r="80" spans="1:8" x14ac:dyDescent="0.35">
      <c r="A80" s="7" t="s">
        <v>111</v>
      </c>
      <c r="B80" s="7" t="s">
        <v>150</v>
      </c>
      <c r="C80" s="8">
        <v>830.71</v>
      </c>
      <c r="D80" s="7">
        <f>SUMIF(Entrada!B:B,A80,Entrada!D:D)</f>
        <v>193</v>
      </c>
      <c r="E80" s="7">
        <f>SUMIF(Saida!B:B,A80,Saida!D:D)</f>
        <v>74</v>
      </c>
      <c r="F80" s="7">
        <f t="shared" si="0"/>
        <v>119</v>
      </c>
      <c r="G80" s="8">
        <f>F80*(_xlfn.XLOOKUP(A80,Cadastro!A:A,Cadastro!E:E,,0))</f>
        <v>98854.49</v>
      </c>
      <c r="H80" s="7" t="str" cm="1">
        <f t="array" ref="H80">_xlfn.IFS(F80=0,"Obsoleto",F80&lt;0,"Estoque Negativo",AND(F80&gt;=1,F80&lt;=20),"Crítico",AND(F80&gt;=21,F80&lt;=100),"OK",F80&gt;100,"Excesso")</f>
        <v>Excesso</v>
      </c>
    </row>
    <row r="81" spans="1:8" x14ac:dyDescent="0.35">
      <c r="A81" s="7" t="s">
        <v>103</v>
      </c>
      <c r="B81" s="7" t="s">
        <v>150</v>
      </c>
      <c r="C81" s="8">
        <v>306.2</v>
      </c>
      <c r="D81" s="7">
        <f>SUMIF(Entrada!B:B,A81,Entrada!D:D)</f>
        <v>447</v>
      </c>
      <c r="E81" s="7">
        <f>SUMIF(Saida!B:B,A81,Saida!D:D)</f>
        <v>131</v>
      </c>
      <c r="F81" s="7">
        <f t="shared" si="0"/>
        <v>316</v>
      </c>
      <c r="G81" s="8">
        <f>F81*(_xlfn.XLOOKUP(A81,Cadastro!A:A,Cadastro!E:E,,0))</f>
        <v>96759.2</v>
      </c>
      <c r="H81" s="7" t="str" cm="1">
        <f t="array" ref="H81">_xlfn.IFS(F81=0,"Obsoleto",F81&lt;0,"Estoque Negativo",AND(F81&gt;=1,F81&lt;=20),"Crítico",AND(F81&gt;=21,F81&lt;=100),"OK",F81&gt;100,"Excesso")</f>
        <v>Excesso</v>
      </c>
    </row>
    <row r="82" spans="1:8" x14ac:dyDescent="0.35">
      <c r="A82" s="7" t="s">
        <v>51</v>
      </c>
      <c r="B82" s="7" t="s">
        <v>166</v>
      </c>
      <c r="C82" s="8">
        <v>576.61</v>
      </c>
      <c r="D82" s="7">
        <f>SUMIF(Entrada!B:B,A82,Entrada!D:D)</f>
        <v>698</v>
      </c>
      <c r="E82" s="7">
        <f>SUMIF(Saida!B:B,A82,Saida!D:D)</f>
        <v>107</v>
      </c>
      <c r="F82" s="7">
        <f t="shared" si="0"/>
        <v>591</v>
      </c>
      <c r="G82" s="8">
        <f>F82*(_xlfn.XLOOKUP(A82,Cadastro!A:A,Cadastro!E:E,,0))</f>
        <v>340776.51</v>
      </c>
      <c r="H82" s="7" t="str" cm="1">
        <f t="array" ref="H82">_xlfn.IFS(F82=0,"Obsoleto",F82&lt;0,"Estoque Negativo",AND(F82&gt;=1,F82&lt;=20),"Crítico",AND(F82&gt;=21,F82&lt;=100),"OK",F82&gt;100,"Excesso")</f>
        <v>Excesso</v>
      </c>
    </row>
    <row r="83" spans="1:8" x14ac:dyDescent="0.35">
      <c r="A83" s="7" t="s">
        <v>74</v>
      </c>
      <c r="B83" s="7" t="s">
        <v>160</v>
      </c>
      <c r="C83" s="8">
        <v>188.01</v>
      </c>
      <c r="D83" s="7">
        <f>SUMIF(Entrada!B:B,A83,Entrada!D:D)</f>
        <v>310</v>
      </c>
      <c r="E83" s="7">
        <f>SUMIF(Saida!B:B,A83,Saida!D:D)</f>
        <v>207</v>
      </c>
      <c r="F83" s="7">
        <f t="shared" si="0"/>
        <v>103</v>
      </c>
      <c r="G83" s="8">
        <f>F83*(_xlfn.XLOOKUP(A83,Cadastro!A:A,Cadastro!E:E,,0))</f>
        <v>19365.03</v>
      </c>
      <c r="H83" s="7" t="str" cm="1">
        <f t="array" ref="H83">_xlfn.IFS(F83=0,"Obsoleto",F83&lt;0,"Estoque Negativo",AND(F83&gt;=1,F83&lt;=20),"Crítico",AND(F83&gt;=21,F83&lt;=100),"OK",F83&gt;100,"Excesso")</f>
        <v>Excesso</v>
      </c>
    </row>
    <row r="84" spans="1:8" x14ac:dyDescent="0.35">
      <c r="A84" s="7" t="s">
        <v>33</v>
      </c>
      <c r="B84" s="7" t="s">
        <v>160</v>
      </c>
      <c r="C84" s="8">
        <v>401.23</v>
      </c>
      <c r="D84" s="7">
        <f>SUMIF(Entrada!B:B,A84,Entrada!D:D)</f>
        <v>303</v>
      </c>
      <c r="E84" s="7">
        <f>SUMIF(Saida!B:B,A84,Saida!D:D)</f>
        <v>13</v>
      </c>
      <c r="F84" s="7">
        <f t="shared" si="0"/>
        <v>290</v>
      </c>
      <c r="G84" s="8">
        <f>F84*(_xlfn.XLOOKUP(A84,Cadastro!A:A,Cadastro!E:E,,0))</f>
        <v>116356.70000000001</v>
      </c>
      <c r="H84" s="7" t="str" cm="1">
        <f t="array" ref="H84">_xlfn.IFS(F84=0,"Obsoleto",F84&lt;0,"Estoque Negativo",AND(F84&gt;=1,F84&lt;=20),"Crítico",AND(F84&gt;=21,F84&lt;=100),"OK",F84&gt;100,"Excesso")</f>
        <v>Excesso</v>
      </c>
    </row>
    <row r="85" spans="1:8" x14ac:dyDescent="0.35">
      <c r="A85" s="7" t="s">
        <v>128</v>
      </c>
      <c r="B85" s="7" t="s">
        <v>152</v>
      </c>
      <c r="C85" s="8">
        <v>811.47</v>
      </c>
      <c r="D85" s="7">
        <f>SUMIF(Entrada!B:B,A85,Entrada!D:D)</f>
        <v>257</v>
      </c>
      <c r="E85" s="7">
        <f>SUMIF(Saida!B:B,A85,Saida!D:D)</f>
        <v>196</v>
      </c>
      <c r="F85" s="7">
        <f t="shared" si="0"/>
        <v>61</v>
      </c>
      <c r="G85" s="8">
        <f>F85*(_xlfn.XLOOKUP(A85,Cadastro!A:A,Cadastro!E:E,,0))</f>
        <v>49499.67</v>
      </c>
      <c r="H85" s="7" t="str" cm="1">
        <f t="array" ref="H85">_xlfn.IFS(F85=0,"Obsoleto",F85&lt;0,"Estoque Negativo",AND(F85&gt;=1,F85&lt;=20),"Crítico",AND(F85&gt;=21,F85&lt;=100),"OK",F85&gt;100,"Excesso")</f>
        <v>OK</v>
      </c>
    </row>
    <row r="86" spans="1:8" x14ac:dyDescent="0.35">
      <c r="A86" s="7" t="s">
        <v>104</v>
      </c>
      <c r="B86" s="7" t="s">
        <v>158</v>
      </c>
      <c r="C86" s="8">
        <v>447.66</v>
      </c>
      <c r="D86" s="7">
        <f>SUMIF(Entrada!B:B,A86,Entrada!D:D)</f>
        <v>353</v>
      </c>
      <c r="E86" s="7">
        <f>SUMIF(Saida!B:B,A86,Saida!D:D)</f>
        <v>159</v>
      </c>
      <c r="F86" s="7">
        <f t="shared" si="0"/>
        <v>194</v>
      </c>
      <c r="G86" s="8">
        <f>F86*(_xlfn.XLOOKUP(A86,Cadastro!A:A,Cadastro!E:E,,0))</f>
        <v>86846.040000000008</v>
      </c>
      <c r="H86" s="7" t="str" cm="1">
        <f t="array" ref="H86">_xlfn.IFS(F86=0,"Obsoleto",F86&lt;0,"Estoque Negativo",AND(F86&gt;=1,F86&lt;=20),"Crítico",AND(F86&gt;=21,F86&lt;=100),"OK",F86&gt;100,"Excesso")</f>
        <v>Excesso</v>
      </c>
    </row>
    <row r="87" spans="1:8" x14ac:dyDescent="0.35">
      <c r="A87" s="7" t="s">
        <v>93</v>
      </c>
      <c r="B87" s="7" t="s">
        <v>152</v>
      </c>
      <c r="C87" s="8">
        <v>670.72</v>
      </c>
      <c r="D87" s="7">
        <f>SUMIF(Entrada!B:B,A87,Entrada!D:D)</f>
        <v>552</v>
      </c>
      <c r="E87" s="7">
        <f>SUMIF(Saida!B:B,A87,Saida!D:D)</f>
        <v>316</v>
      </c>
      <c r="F87" s="7">
        <f t="shared" si="0"/>
        <v>236</v>
      </c>
      <c r="G87" s="8">
        <f>F87*(_xlfn.XLOOKUP(A87,Cadastro!A:A,Cadastro!E:E,,0))</f>
        <v>158289.92000000001</v>
      </c>
      <c r="H87" s="7" t="str" cm="1">
        <f t="array" ref="H87">_xlfn.IFS(F87=0,"Obsoleto",F87&lt;0,"Estoque Negativo",AND(F87&gt;=1,F87&lt;=20),"Crítico",AND(F87&gt;=21,F87&lt;=100),"OK",F87&gt;100,"Excesso")</f>
        <v>Excesso</v>
      </c>
    </row>
    <row r="88" spans="1:8" x14ac:dyDescent="0.35">
      <c r="A88" s="7" t="s">
        <v>132</v>
      </c>
      <c r="B88" s="7" t="s">
        <v>152</v>
      </c>
      <c r="C88" s="8">
        <v>302.33999999999997</v>
      </c>
      <c r="D88" s="7">
        <f>SUMIF(Entrada!B:B,A88,Entrada!D:D)</f>
        <v>439</v>
      </c>
      <c r="E88" s="7">
        <f>SUMIF(Saida!B:B,A88,Saida!D:D)</f>
        <v>147</v>
      </c>
      <c r="F88" s="7">
        <f t="shared" si="0"/>
        <v>292</v>
      </c>
      <c r="G88" s="8">
        <f>F88*(_xlfn.XLOOKUP(A88,Cadastro!A:A,Cadastro!E:E,,0))</f>
        <v>88283.28</v>
      </c>
      <c r="H88" s="7" t="str" cm="1">
        <f t="array" ref="H88">_xlfn.IFS(F88=0,"Obsoleto",F88&lt;0,"Estoque Negativo",AND(F88&gt;=1,F88&lt;=20),"Crítico",AND(F88&gt;=21,F88&lt;=100),"OK",F88&gt;100,"Excesso")</f>
        <v>Excesso</v>
      </c>
    </row>
    <row r="89" spans="1:8" x14ac:dyDescent="0.35">
      <c r="A89" s="7" t="s">
        <v>80</v>
      </c>
      <c r="B89" s="7" t="s">
        <v>148</v>
      </c>
      <c r="C89" s="8">
        <v>658.98</v>
      </c>
      <c r="D89" s="7">
        <f>SUMIF(Entrada!B:B,A89,Entrada!D:D)</f>
        <v>45</v>
      </c>
      <c r="E89" s="7">
        <f>SUMIF(Saida!B:B,A89,Saida!D:D)</f>
        <v>205</v>
      </c>
      <c r="F89" s="7">
        <f t="shared" si="0"/>
        <v>-160</v>
      </c>
      <c r="G89" s="8">
        <f>F89*(_xlfn.XLOOKUP(A89,Cadastro!A:A,Cadastro!E:E,,0))</f>
        <v>-105436.8</v>
      </c>
      <c r="H89" s="7" t="str" cm="1">
        <f t="array" ref="H89">_xlfn.IFS(F89=0,"Obsoleto",F89&lt;0,"Estoque Negativo",AND(F89&gt;=1,F89&lt;=20),"Crítico",AND(F89&gt;=21,F89&lt;=100),"OK",F89&gt;100,"Excesso")</f>
        <v>Estoque Negativo</v>
      </c>
    </row>
    <row r="90" spans="1:8" x14ac:dyDescent="0.35">
      <c r="A90" s="7" t="s">
        <v>61</v>
      </c>
      <c r="B90" s="7" t="s">
        <v>158</v>
      </c>
      <c r="C90" s="8">
        <v>294.33</v>
      </c>
      <c r="D90" s="7">
        <f>SUMIF(Entrada!B:B,A90,Entrada!D:D)</f>
        <v>799</v>
      </c>
      <c r="E90" s="7">
        <f>SUMIF(Saida!B:B,A90,Saida!D:D)</f>
        <v>18</v>
      </c>
      <c r="F90" s="7">
        <f t="shared" si="0"/>
        <v>781</v>
      </c>
      <c r="G90" s="8">
        <f>F90*(_xlfn.XLOOKUP(A90,Cadastro!A:A,Cadastro!E:E,,0))</f>
        <v>229871.72999999998</v>
      </c>
      <c r="H90" s="7" t="str" cm="1">
        <f t="array" ref="H90">_xlfn.IFS(F90=0,"Obsoleto",F90&lt;0,"Estoque Negativo",AND(F90&gt;=1,F90&lt;=20),"Crítico",AND(F90&gt;=21,F90&lt;=100),"OK",F90&gt;100,"Excesso")</f>
        <v>Excesso</v>
      </c>
    </row>
    <row r="91" spans="1:8" x14ac:dyDescent="0.35">
      <c r="A91" s="7" t="s">
        <v>141</v>
      </c>
      <c r="B91" s="7" t="s">
        <v>152</v>
      </c>
      <c r="C91" s="8">
        <v>499.44</v>
      </c>
      <c r="D91" s="7">
        <f>SUMIF(Entrada!B:B,A91,Entrada!D:D)</f>
        <v>0</v>
      </c>
      <c r="E91" s="7">
        <f>SUMIF(Saida!B:B,A91,Saida!D:D)</f>
        <v>277</v>
      </c>
      <c r="F91" s="7">
        <f t="shared" si="0"/>
        <v>-277</v>
      </c>
      <c r="G91" s="8">
        <f>F91*(_xlfn.XLOOKUP(A91,Cadastro!A:A,Cadastro!E:E,,0))</f>
        <v>-138344.88</v>
      </c>
      <c r="H91" s="7" t="str" cm="1">
        <f t="array" ref="H91">_xlfn.IFS(F91=0,"Obsoleto",F91&lt;0,"Estoque Negativo",AND(F91&gt;=1,F91&lt;=20),"Crítico",AND(F91&gt;=21,F91&lt;=100),"OK",F91&gt;100,"Excesso")</f>
        <v>Estoque Negativo</v>
      </c>
    </row>
    <row r="92" spans="1:8" x14ac:dyDescent="0.35">
      <c r="A92" s="7" t="s">
        <v>18</v>
      </c>
      <c r="B92" s="7" t="s">
        <v>152</v>
      </c>
      <c r="C92" s="8">
        <v>787.03</v>
      </c>
      <c r="D92" s="7">
        <f>SUMIF(Entrada!B:B,A92,Entrada!D:D)</f>
        <v>356</v>
      </c>
      <c r="E92" s="7">
        <f>SUMIF(Saida!B:B,A92,Saida!D:D)</f>
        <v>169</v>
      </c>
      <c r="F92" s="7">
        <f t="shared" si="0"/>
        <v>187</v>
      </c>
      <c r="G92" s="8">
        <f>F92*(_xlfn.XLOOKUP(A92,Cadastro!A:A,Cadastro!E:E,,0))</f>
        <v>147174.60999999999</v>
      </c>
      <c r="H92" s="7" t="str" cm="1">
        <f t="array" ref="H92">_xlfn.IFS(F92=0,"Obsoleto",F92&lt;0,"Estoque Negativo",AND(F92&gt;=1,F92&lt;=20),"Crítico",AND(F92&gt;=21,F92&lt;=100),"OK",F92&gt;100,"Excesso")</f>
        <v>Excesso</v>
      </c>
    </row>
    <row r="93" spans="1:8" x14ac:dyDescent="0.35">
      <c r="A93" s="7" t="s">
        <v>46</v>
      </c>
      <c r="B93" s="7" t="s">
        <v>150</v>
      </c>
      <c r="C93" s="8">
        <v>806.69</v>
      </c>
      <c r="D93" s="7">
        <f>SUMIF(Entrada!B:B,A93,Entrada!D:D)</f>
        <v>355</v>
      </c>
      <c r="E93" s="7">
        <f>SUMIF(Saida!B:B,A93,Saida!D:D)</f>
        <v>196</v>
      </c>
      <c r="F93" s="7">
        <f t="shared" si="0"/>
        <v>159</v>
      </c>
      <c r="G93" s="8">
        <f>F93*(_xlfn.XLOOKUP(A93,Cadastro!A:A,Cadastro!E:E,,0))</f>
        <v>128263.71</v>
      </c>
      <c r="H93" s="7" t="str" cm="1">
        <f t="array" ref="H93">_xlfn.IFS(F93=0,"Obsoleto",F93&lt;0,"Estoque Negativo",AND(F93&gt;=1,F93&lt;=20),"Crítico",AND(F93&gt;=21,F93&lt;=100),"OK",F93&gt;100,"Excesso")</f>
        <v>Excesso</v>
      </c>
    </row>
    <row r="94" spans="1:8" x14ac:dyDescent="0.35">
      <c r="A94" s="7" t="s">
        <v>124</v>
      </c>
      <c r="B94" s="7" t="s">
        <v>155</v>
      </c>
      <c r="C94" s="8">
        <v>334.38</v>
      </c>
      <c r="D94" s="7">
        <f>SUMIF(Entrada!B:B,A94,Entrada!D:D)</f>
        <v>222</v>
      </c>
      <c r="E94" s="7">
        <f>SUMIF(Saida!B:B,A94,Saida!D:D)</f>
        <v>297</v>
      </c>
      <c r="F94" s="7">
        <f t="shared" si="0"/>
        <v>-75</v>
      </c>
      <c r="G94" s="8">
        <f>F94*(_xlfn.XLOOKUP(A94,Cadastro!A:A,Cadastro!E:E,,0))</f>
        <v>-25078.5</v>
      </c>
      <c r="H94" s="7" t="str" cm="1">
        <f t="array" ref="H94">_xlfn.IFS(F94=0,"Obsoleto",F94&lt;0,"Estoque Negativo",AND(F94&gt;=1,F94&lt;=20),"Crítico",AND(F94&gt;=21,F94&lt;=100),"OK",F94&gt;100,"Excesso")</f>
        <v>Estoque Negativo</v>
      </c>
    </row>
    <row r="95" spans="1:8" x14ac:dyDescent="0.35">
      <c r="A95" s="7" t="s">
        <v>143</v>
      </c>
      <c r="B95" s="7" t="s">
        <v>155</v>
      </c>
      <c r="C95" s="8">
        <v>912.84</v>
      </c>
      <c r="D95" s="7">
        <f>SUMIF(Entrada!B:B,A95,Entrada!D:D)</f>
        <v>0</v>
      </c>
      <c r="E95" s="7">
        <f>SUMIF(Saida!B:B,A95,Saida!D:D)</f>
        <v>51</v>
      </c>
      <c r="F95" s="7">
        <f t="shared" si="0"/>
        <v>-51</v>
      </c>
      <c r="G95" s="8">
        <f>F95*(_xlfn.XLOOKUP(A95,Cadastro!A:A,Cadastro!E:E,,0))</f>
        <v>-46554.840000000004</v>
      </c>
      <c r="H95" s="7" t="str" cm="1">
        <f t="array" ref="H95">_xlfn.IFS(F95=0,"Obsoleto",F95&lt;0,"Estoque Negativo",AND(F95&gt;=1,F95&lt;=20),"Crítico",AND(F95&gt;=21,F95&lt;=100),"OK",F95&gt;100,"Excesso")</f>
        <v>Estoque Negativo</v>
      </c>
    </row>
    <row r="96" spans="1:8" x14ac:dyDescent="0.35">
      <c r="A96" s="7" t="s">
        <v>48</v>
      </c>
      <c r="B96" s="7" t="s">
        <v>160</v>
      </c>
      <c r="C96" s="8">
        <v>349.59</v>
      </c>
      <c r="D96" s="7">
        <f>SUMIF(Entrada!B:B,A96,Entrada!D:D)</f>
        <v>335</v>
      </c>
      <c r="E96" s="7">
        <f>SUMIF(Saida!B:B,A96,Saida!D:D)</f>
        <v>179</v>
      </c>
      <c r="F96" s="7">
        <f t="shared" si="0"/>
        <v>156</v>
      </c>
      <c r="G96" s="8">
        <f>F96*(_xlfn.XLOOKUP(A96,Cadastro!A:A,Cadastro!E:E,,0))</f>
        <v>54536.039999999994</v>
      </c>
      <c r="H96" s="7" t="str" cm="1">
        <f t="array" ref="H96">_xlfn.IFS(F96=0,"Obsoleto",F96&lt;0,"Estoque Negativo",AND(F96&gt;=1,F96&lt;=20),"Crítico",AND(F96&gt;=21,F96&lt;=100),"OK",F96&gt;100,"Excesso")</f>
        <v>Excesso</v>
      </c>
    </row>
    <row r="97" spans="1:8" x14ac:dyDescent="0.35">
      <c r="A97" s="7" t="s">
        <v>44</v>
      </c>
      <c r="B97" s="7" t="s">
        <v>160</v>
      </c>
      <c r="C97" s="8">
        <v>959.82</v>
      </c>
      <c r="D97" s="7">
        <f>SUMIF(Entrada!B:B,A97,Entrada!D:D)</f>
        <v>509</v>
      </c>
      <c r="E97" s="7">
        <f>SUMIF(Saida!B:B,A97,Saida!D:D)</f>
        <v>54</v>
      </c>
      <c r="F97" s="7">
        <f t="shared" si="0"/>
        <v>455</v>
      </c>
      <c r="G97" s="8">
        <f>F97*(_xlfn.XLOOKUP(A97,Cadastro!A:A,Cadastro!E:E,,0))</f>
        <v>436718.10000000003</v>
      </c>
      <c r="H97" s="7" t="str" cm="1">
        <f t="array" ref="H97">_xlfn.IFS(F97=0,"Obsoleto",F97&lt;0,"Estoque Negativo",AND(F97&gt;=1,F97&lt;=20),"Crítico",AND(F97&gt;=21,F97&lt;=100),"OK",F97&gt;100,"Excesso")</f>
        <v>Excesso</v>
      </c>
    </row>
    <row r="98" spans="1:8" x14ac:dyDescent="0.35">
      <c r="A98" s="7" t="s">
        <v>90</v>
      </c>
      <c r="B98" s="7" t="s">
        <v>155</v>
      </c>
      <c r="C98" s="8">
        <v>970.1</v>
      </c>
      <c r="D98" s="7">
        <f>SUMIF(Entrada!B:B,A98,Entrada!D:D)</f>
        <v>376</v>
      </c>
      <c r="E98" s="7">
        <f>SUMIF(Saida!B:B,A98,Saida!D:D)</f>
        <v>182</v>
      </c>
      <c r="F98" s="7">
        <f t="shared" si="0"/>
        <v>194</v>
      </c>
      <c r="G98" s="8">
        <f>F98*(_xlfn.XLOOKUP(A98,Cadastro!A:A,Cadastro!E:E,,0))</f>
        <v>188199.4</v>
      </c>
      <c r="H98" s="7" t="str" cm="1">
        <f t="array" ref="H98">_xlfn.IFS(F98=0,"Obsoleto",F98&lt;0,"Estoque Negativo",AND(F98&gt;=1,F98&lt;=20),"Crítico",AND(F98&gt;=21,F98&lt;=100),"OK",F98&gt;100,"Excesso")</f>
        <v>Excesso</v>
      </c>
    </row>
    <row r="99" spans="1:8" x14ac:dyDescent="0.35">
      <c r="A99" s="7" t="s">
        <v>95</v>
      </c>
      <c r="B99" s="7" t="s">
        <v>152</v>
      </c>
      <c r="C99" s="8">
        <v>950.74</v>
      </c>
      <c r="D99" s="7">
        <f>SUMIF(Entrada!B:B,A99,Entrada!D:D)</f>
        <v>187</v>
      </c>
      <c r="E99" s="7">
        <f>SUMIF(Saida!B:B,A99,Saida!D:D)</f>
        <v>64</v>
      </c>
      <c r="F99" s="7">
        <f t="shared" si="0"/>
        <v>123</v>
      </c>
      <c r="G99" s="8">
        <f>F99*(_xlfn.XLOOKUP(A99,Cadastro!A:A,Cadastro!E:E,,0))</f>
        <v>116941.02</v>
      </c>
      <c r="H99" s="7" t="str" cm="1">
        <f t="array" ref="H99">_xlfn.IFS(F99=0,"Obsoleto",F99&lt;0,"Estoque Negativo",AND(F99&gt;=1,F99&lt;=20),"Crítico",AND(F99&gt;=21,F99&lt;=100),"OK",F99&gt;100,"Excesso")</f>
        <v>Excesso</v>
      </c>
    </row>
    <row r="100" spans="1:8" x14ac:dyDescent="0.35">
      <c r="A100" s="7" t="s">
        <v>114</v>
      </c>
      <c r="B100" s="7" t="s">
        <v>152</v>
      </c>
      <c r="C100" s="8">
        <v>405.92</v>
      </c>
      <c r="D100" s="7">
        <f>SUMIF(Entrada!B:B,A100,Entrada!D:D)</f>
        <v>413</v>
      </c>
      <c r="E100" s="7">
        <f>SUMIF(Saida!B:B,A100,Saida!D:D)</f>
        <v>132</v>
      </c>
      <c r="F100" s="7">
        <f t="shared" si="0"/>
        <v>281</v>
      </c>
      <c r="G100" s="8">
        <f>F100*(_xlfn.XLOOKUP(A100,Cadastro!A:A,Cadastro!E:E,,0))</f>
        <v>114063.52</v>
      </c>
      <c r="H100" s="7" t="str" cm="1">
        <f t="array" ref="H100">_xlfn.IFS(F100=0,"Obsoleto",F100&lt;0,"Estoque Negativo",AND(F100&gt;=1,F100&lt;=20),"Crítico",AND(F100&gt;=21,F100&lt;=100),"OK",F100&gt;100,"Excesso")</f>
        <v>Excesso</v>
      </c>
    </row>
    <row r="101" spans="1:8" x14ac:dyDescent="0.35">
      <c r="A101" s="7" t="s">
        <v>87</v>
      </c>
      <c r="B101" s="7" t="s">
        <v>155</v>
      </c>
      <c r="C101" s="8">
        <v>510.54</v>
      </c>
      <c r="D101" s="7">
        <f>SUMIF(Entrada!B:B,A101,Entrada!D:D)</f>
        <v>686</v>
      </c>
      <c r="E101" s="7">
        <f>SUMIF(Saida!B:B,A101,Saida!D:D)</f>
        <v>205</v>
      </c>
      <c r="F101" s="7">
        <f t="shared" si="0"/>
        <v>481</v>
      </c>
      <c r="G101" s="8">
        <f>F101*(_xlfn.XLOOKUP(A101,Cadastro!A:A,Cadastro!E:E,,0))</f>
        <v>245569.74000000002</v>
      </c>
      <c r="H101" s="7" t="str" cm="1">
        <f t="array" ref="H101">_xlfn.IFS(F101=0,"Obsoleto",F101&lt;0,"Estoque Negativo",AND(F101&gt;=1,F101&lt;=20),"Crítico",AND(F101&gt;=21,F101&lt;=100),"OK",F101&gt;100,"Excesso")</f>
        <v>Excesso</v>
      </c>
    </row>
    <row r="102" spans="1:8" x14ac:dyDescent="0.35">
      <c r="A102" s="7" t="s">
        <v>123</v>
      </c>
      <c r="B102" s="7" t="s">
        <v>160</v>
      </c>
      <c r="C102" s="8">
        <v>950.93</v>
      </c>
      <c r="D102" s="7">
        <f>SUMIF(Entrada!B:B,A102,Entrada!D:D)</f>
        <v>190</v>
      </c>
      <c r="E102" s="7">
        <f>SUMIF(Saida!B:B,A102,Saida!D:D)</f>
        <v>213</v>
      </c>
      <c r="F102" s="7">
        <f t="shared" si="0"/>
        <v>-23</v>
      </c>
      <c r="G102" s="8">
        <f>F102*(_xlfn.XLOOKUP(A102,Cadastro!A:A,Cadastro!E:E,,0))</f>
        <v>-21871.39</v>
      </c>
      <c r="H102" s="7" t="str" cm="1">
        <f t="array" ref="H102">_xlfn.IFS(F102=0,"Obsoleto",F102&lt;0,"Estoque Negativo",AND(F102&gt;=1,F102&lt;=20),"Crítico",AND(F102&gt;=21,F102&lt;=100),"OK",F102&gt;100,"Excesso")</f>
        <v>Estoque Negativo</v>
      </c>
    </row>
    <row r="103" spans="1:8" x14ac:dyDescent="0.35">
      <c r="A103" s="7" t="s">
        <v>105</v>
      </c>
      <c r="B103" s="7" t="s">
        <v>158</v>
      </c>
      <c r="C103" s="8">
        <v>676.7</v>
      </c>
      <c r="D103" s="7">
        <f>SUMIF(Entrada!B:B,A103,Entrada!D:D)</f>
        <v>570</v>
      </c>
      <c r="E103" s="7">
        <f>SUMIF(Saida!B:B,A103,Saida!D:D)</f>
        <v>152</v>
      </c>
      <c r="F103" s="7">
        <f t="shared" si="0"/>
        <v>418</v>
      </c>
      <c r="G103" s="8">
        <f>F103*(_xlfn.XLOOKUP(A103,Cadastro!A:A,Cadastro!E:E,,0))</f>
        <v>282860.60000000003</v>
      </c>
      <c r="H103" s="7" t="str" cm="1">
        <f t="array" ref="H103">_xlfn.IFS(F103=0,"Obsoleto",F103&lt;0,"Estoque Negativo",AND(F103&gt;=1,F103&lt;=20),"Crítico",AND(F103&gt;=21,F103&lt;=100),"OK",F103&gt;100,"Excesso")</f>
        <v>Excesso</v>
      </c>
    </row>
    <row r="104" spans="1:8" x14ac:dyDescent="0.35">
      <c r="A104" s="7" t="s">
        <v>69</v>
      </c>
      <c r="B104" s="7" t="s">
        <v>166</v>
      </c>
      <c r="C104" s="8">
        <v>383.27</v>
      </c>
      <c r="D104" s="7">
        <f>SUMIF(Entrada!B:B,A104,Entrada!D:D)</f>
        <v>413</v>
      </c>
      <c r="E104" s="7">
        <f>SUMIF(Saida!B:B,A104,Saida!D:D)</f>
        <v>274</v>
      </c>
      <c r="F104" s="7">
        <f t="shared" si="0"/>
        <v>139</v>
      </c>
      <c r="G104" s="8">
        <f>F104*(_xlfn.XLOOKUP(A104,Cadastro!A:A,Cadastro!E:E,,0))</f>
        <v>53274.53</v>
      </c>
      <c r="H104" s="7" t="str" cm="1">
        <f t="array" ref="H104">_xlfn.IFS(F104=0,"Obsoleto",F104&lt;0,"Estoque Negativo",AND(F104&gt;=1,F104&lt;=20),"Crítico",AND(F104&gt;=21,F104&lt;=100),"OK",F104&gt;100,"Excesso")</f>
        <v>Excesso</v>
      </c>
    </row>
    <row r="105" spans="1:8" x14ac:dyDescent="0.35">
      <c r="A105" s="7" t="s">
        <v>56</v>
      </c>
      <c r="B105" s="7" t="s">
        <v>155</v>
      </c>
      <c r="C105" s="8">
        <v>597.80999999999995</v>
      </c>
      <c r="D105" s="7">
        <f>SUMIF(Entrada!B:B,A105,Entrada!D:D)</f>
        <v>168</v>
      </c>
      <c r="E105" s="7">
        <f>SUMIF(Saida!B:B,A105,Saida!D:D)</f>
        <v>239</v>
      </c>
      <c r="F105" s="7">
        <f t="shared" si="0"/>
        <v>-71</v>
      </c>
      <c r="G105" s="8">
        <f>F105*(_xlfn.XLOOKUP(A105,Cadastro!A:A,Cadastro!E:E,,0))</f>
        <v>-42444.509999999995</v>
      </c>
      <c r="H105" s="7" t="str" cm="1">
        <f t="array" ref="H105">_xlfn.IFS(F105=0,"Obsoleto",F105&lt;0,"Estoque Negativo",AND(F105&gt;=1,F105&lt;=20),"Crítico",AND(F105&gt;=21,F105&lt;=100),"OK",F105&gt;100,"Excesso")</f>
        <v>Estoque Negativo</v>
      </c>
    </row>
    <row r="106" spans="1:8" x14ac:dyDescent="0.35">
      <c r="A106" s="7" t="s">
        <v>100</v>
      </c>
      <c r="B106" s="7" t="s">
        <v>166</v>
      </c>
      <c r="C106" s="8">
        <v>549.75</v>
      </c>
      <c r="D106" s="7">
        <f>SUMIF(Entrada!B:B,A106,Entrada!D:D)</f>
        <v>223</v>
      </c>
      <c r="E106" s="7">
        <f>SUMIF(Saida!B:B,A106,Saida!D:D)</f>
        <v>0</v>
      </c>
      <c r="F106" s="7">
        <f t="shared" si="0"/>
        <v>223</v>
      </c>
      <c r="G106" s="8">
        <f>F106*(_xlfn.XLOOKUP(A106,Cadastro!A:A,Cadastro!E:E,,0))</f>
        <v>122594.25</v>
      </c>
      <c r="H106" s="7" t="str" cm="1">
        <f t="array" ref="H106">_xlfn.IFS(F106=0,"Obsoleto",F106&lt;0,"Estoque Negativo",AND(F106&gt;=1,F106&lt;=20),"Crítico",AND(F106&gt;=21,F106&lt;=100),"OK",F106&gt;100,"Excesso")</f>
        <v>Excesso</v>
      </c>
    </row>
    <row r="107" spans="1:8" x14ac:dyDescent="0.35">
      <c r="A107" s="7" t="s">
        <v>115</v>
      </c>
      <c r="B107" s="7" t="s">
        <v>150</v>
      </c>
      <c r="C107" s="8">
        <v>576.48</v>
      </c>
      <c r="D107" s="7">
        <f>SUMIF(Entrada!B:B,A107,Entrada!D:D)</f>
        <v>322</v>
      </c>
      <c r="E107" s="7">
        <f>SUMIF(Saida!B:B,A107,Saida!D:D)</f>
        <v>158</v>
      </c>
      <c r="F107" s="7">
        <f t="shared" si="0"/>
        <v>164</v>
      </c>
      <c r="G107" s="8">
        <f>F107*(_xlfn.XLOOKUP(A107,Cadastro!A:A,Cadastro!E:E,,0))</f>
        <v>94542.720000000001</v>
      </c>
      <c r="H107" s="7" t="str" cm="1">
        <f t="array" ref="H107">_xlfn.IFS(F107=0,"Obsoleto",F107&lt;0,"Estoque Negativo",AND(F107&gt;=1,F107&lt;=20),"Crítico",AND(F107&gt;=21,F107&lt;=100),"OK",F107&gt;100,"Excesso")</f>
        <v>Excesso</v>
      </c>
    </row>
    <row r="108" spans="1:8" x14ac:dyDescent="0.35">
      <c r="A108" s="7" t="s">
        <v>122</v>
      </c>
      <c r="B108" s="7" t="s">
        <v>158</v>
      </c>
      <c r="C108" s="8">
        <v>931.11</v>
      </c>
      <c r="D108" s="7">
        <f>SUMIF(Entrada!B:B,A108,Entrada!D:D)</f>
        <v>323</v>
      </c>
      <c r="E108" s="7">
        <f>SUMIF(Saida!B:B,A108,Saida!D:D)</f>
        <v>104</v>
      </c>
      <c r="F108" s="7">
        <f t="shared" si="0"/>
        <v>219</v>
      </c>
      <c r="G108" s="8">
        <f>F108*(_xlfn.XLOOKUP(A108,Cadastro!A:A,Cadastro!E:E,,0))</f>
        <v>203913.09</v>
      </c>
      <c r="H108" s="7" t="str" cm="1">
        <f t="array" ref="H108">_xlfn.IFS(F108=0,"Obsoleto",F108&lt;0,"Estoque Negativo",AND(F108&gt;=1,F108&lt;=20),"Crítico",AND(F108&gt;=21,F108&lt;=100),"OK",F108&gt;100,"Excesso")</f>
        <v>Excesso</v>
      </c>
    </row>
    <row r="109" spans="1:8" x14ac:dyDescent="0.35">
      <c r="A109" s="7" t="s">
        <v>27</v>
      </c>
      <c r="B109" s="7" t="s">
        <v>166</v>
      </c>
      <c r="C109" s="8">
        <v>967.84</v>
      </c>
      <c r="D109" s="7">
        <f>SUMIF(Entrada!B:B,A109,Entrada!D:D)</f>
        <v>117</v>
      </c>
      <c r="E109" s="7">
        <f>SUMIF(Saida!B:B,A109,Saida!D:D)</f>
        <v>0</v>
      </c>
      <c r="F109" s="7">
        <f t="shared" si="0"/>
        <v>117</v>
      </c>
      <c r="G109" s="8">
        <f>F109*(_xlfn.XLOOKUP(A109,Cadastro!A:A,Cadastro!E:E,,0))</f>
        <v>113237.28</v>
      </c>
      <c r="H109" s="7" t="str" cm="1">
        <f t="array" ref="H109">_xlfn.IFS(F109=0,"Obsoleto",F109&lt;0,"Estoque Negativo",AND(F109&gt;=1,F109&lt;=20),"Crítico",AND(F109&gt;=21,F109&lt;=100),"OK",F109&gt;100,"Excesso")</f>
        <v>Excesso</v>
      </c>
    </row>
    <row r="110" spans="1:8" x14ac:dyDescent="0.35">
      <c r="A110" s="7" t="s">
        <v>134</v>
      </c>
      <c r="B110" s="7" t="s">
        <v>158</v>
      </c>
      <c r="C110" s="8">
        <v>682.72</v>
      </c>
      <c r="D110" s="7">
        <f>SUMIF(Entrada!B:B,A110,Entrada!D:D)</f>
        <v>244</v>
      </c>
      <c r="E110" s="7">
        <f>SUMIF(Saida!B:B,A110,Saida!D:D)</f>
        <v>94</v>
      </c>
      <c r="F110" s="7">
        <f t="shared" si="0"/>
        <v>150</v>
      </c>
      <c r="G110" s="8">
        <f>F110*(_xlfn.XLOOKUP(A110,Cadastro!A:A,Cadastro!E:E,,0))</f>
        <v>102408</v>
      </c>
      <c r="H110" s="7" t="str" cm="1">
        <f t="array" ref="H110">_xlfn.IFS(F110=0,"Obsoleto",F110&lt;0,"Estoque Negativo",AND(F110&gt;=1,F110&lt;=20),"Crítico",AND(F110&gt;=21,F110&lt;=100),"OK",F110&gt;100,"Excesso")</f>
        <v>Excesso</v>
      </c>
    </row>
    <row r="111" spans="1:8" x14ac:dyDescent="0.35">
      <c r="A111" s="7" t="s">
        <v>86</v>
      </c>
      <c r="B111" s="7" t="s">
        <v>158</v>
      </c>
      <c r="C111" s="8">
        <v>418.89</v>
      </c>
      <c r="D111" s="7">
        <f>SUMIF(Entrada!B:B,A111,Entrada!D:D)</f>
        <v>196</v>
      </c>
      <c r="E111" s="7">
        <f>SUMIF(Saida!B:B,A111,Saida!D:D)</f>
        <v>132</v>
      </c>
      <c r="F111" s="7">
        <f t="shared" si="0"/>
        <v>64</v>
      </c>
      <c r="G111" s="8">
        <f>F111*(_xlfn.XLOOKUP(A111,Cadastro!A:A,Cadastro!E:E,,0))</f>
        <v>26808.959999999999</v>
      </c>
      <c r="H111" s="7" t="str" cm="1">
        <f t="array" ref="H111">_xlfn.IFS(F111=0,"Obsoleto",F111&lt;0,"Estoque Negativo",AND(F111&gt;=1,F111&lt;=20),"Crítico",AND(F111&gt;=21,F111&lt;=100),"OK",F111&gt;100,"Excesso")</f>
        <v>OK</v>
      </c>
    </row>
    <row r="112" spans="1:8" x14ac:dyDescent="0.35">
      <c r="A112" s="7" t="s">
        <v>102</v>
      </c>
      <c r="B112" s="7" t="s">
        <v>160</v>
      </c>
      <c r="C112" s="8">
        <v>927.57</v>
      </c>
      <c r="D112" s="7">
        <f>SUMIF(Entrada!B:B,A112,Entrada!D:D)</f>
        <v>203</v>
      </c>
      <c r="E112" s="7">
        <f>SUMIF(Saida!B:B,A112,Saida!D:D)</f>
        <v>118</v>
      </c>
      <c r="F112" s="7">
        <f t="shared" si="0"/>
        <v>85</v>
      </c>
      <c r="G112" s="8">
        <f>F112*(_xlfn.XLOOKUP(A112,Cadastro!A:A,Cadastro!E:E,,0))</f>
        <v>78843.45</v>
      </c>
      <c r="H112" s="7" t="str" cm="1">
        <f t="array" ref="H112">_xlfn.IFS(F112=0,"Obsoleto",F112&lt;0,"Estoque Negativo",AND(F112&gt;=1,F112&lt;=20),"Crítico",AND(F112&gt;=21,F112&lt;=100),"OK",F112&gt;100,"Excesso")</f>
        <v>OK</v>
      </c>
    </row>
    <row r="113" spans="1:8" x14ac:dyDescent="0.35">
      <c r="A113" s="7" t="s">
        <v>84</v>
      </c>
      <c r="B113" s="7" t="s">
        <v>155</v>
      </c>
      <c r="C113" s="8">
        <v>898.39</v>
      </c>
      <c r="D113" s="7">
        <f>SUMIF(Entrada!B:B,A113,Entrada!D:D)</f>
        <v>180</v>
      </c>
      <c r="E113" s="7">
        <f>SUMIF(Saida!B:B,A113,Saida!D:D)</f>
        <v>3</v>
      </c>
      <c r="F113" s="7">
        <f t="shared" si="0"/>
        <v>177</v>
      </c>
      <c r="G113" s="8">
        <f>F113*(_xlfn.XLOOKUP(A113,Cadastro!A:A,Cadastro!E:E,,0))</f>
        <v>159015.03</v>
      </c>
      <c r="H113" s="7" t="str" cm="1">
        <f t="array" ref="H113">_xlfn.IFS(F113=0,"Obsoleto",F113&lt;0,"Estoque Negativo",AND(F113&gt;=1,F113&lt;=20),"Crítico",AND(F113&gt;=21,F113&lt;=100),"OK",F113&gt;100,"Excesso")</f>
        <v>Excesso</v>
      </c>
    </row>
    <row r="114" spans="1:8" x14ac:dyDescent="0.35">
      <c r="A114" s="7" t="s">
        <v>92</v>
      </c>
      <c r="B114" s="7" t="s">
        <v>152</v>
      </c>
      <c r="C114" s="8">
        <v>333.64</v>
      </c>
      <c r="D114" s="7">
        <f>SUMIF(Entrada!B:B,A114,Entrada!D:D)</f>
        <v>337</v>
      </c>
      <c r="E114" s="7">
        <f>SUMIF(Saida!B:B,A114,Saida!D:D)</f>
        <v>150</v>
      </c>
      <c r="F114" s="7">
        <f t="shared" si="0"/>
        <v>187</v>
      </c>
      <c r="G114" s="8">
        <f>F114*(_xlfn.XLOOKUP(A114,Cadastro!A:A,Cadastro!E:E,,0))</f>
        <v>62390.68</v>
      </c>
      <c r="H114" s="7" t="str" cm="1">
        <f t="array" ref="H114">_xlfn.IFS(F114=0,"Obsoleto",F114&lt;0,"Estoque Negativo",AND(F114&gt;=1,F114&lt;=20),"Crítico",AND(F114&gt;=21,F114&lt;=100),"OK",F114&gt;100,"Excesso")</f>
        <v>Excesso</v>
      </c>
    </row>
    <row r="115" spans="1:8" x14ac:dyDescent="0.35">
      <c r="A115" s="7" t="s">
        <v>108</v>
      </c>
      <c r="B115" s="7" t="s">
        <v>166</v>
      </c>
      <c r="C115" s="8">
        <v>285.57</v>
      </c>
      <c r="D115" s="7">
        <f>SUMIF(Entrada!B:B,A115,Entrada!D:D)</f>
        <v>304</v>
      </c>
      <c r="E115" s="7">
        <f>SUMIF(Saida!B:B,A115,Saida!D:D)</f>
        <v>283</v>
      </c>
      <c r="F115" s="7">
        <f t="shared" si="0"/>
        <v>21</v>
      </c>
      <c r="G115" s="8">
        <f>F115*(_xlfn.XLOOKUP(A115,Cadastro!A:A,Cadastro!E:E,,0))</f>
        <v>5996.97</v>
      </c>
      <c r="H115" s="7" t="str" cm="1">
        <f t="array" ref="H115">_xlfn.IFS(F115=0,"Obsoleto",F115&lt;0,"Estoque Negativo",AND(F115&gt;=1,F115&lt;=20),"Crítico",AND(F115&gt;=21,F115&lt;=100),"OK",F115&gt;100,"Excesso")</f>
        <v>OK</v>
      </c>
    </row>
    <row r="116" spans="1:8" x14ac:dyDescent="0.35">
      <c r="A116" s="7" t="s">
        <v>113</v>
      </c>
      <c r="B116" s="7" t="s">
        <v>166</v>
      </c>
      <c r="C116" s="8">
        <v>143.22</v>
      </c>
      <c r="D116" s="7">
        <f>SUMIF(Entrada!B:B,A116,Entrada!D:D)</f>
        <v>436</v>
      </c>
      <c r="E116" s="7">
        <f>SUMIF(Saida!B:B,A116,Saida!D:D)</f>
        <v>197</v>
      </c>
      <c r="F116" s="7">
        <f t="shared" si="0"/>
        <v>239</v>
      </c>
      <c r="G116" s="8">
        <f>F116*(_xlfn.XLOOKUP(A116,Cadastro!A:A,Cadastro!E:E,,0))</f>
        <v>34229.58</v>
      </c>
      <c r="H116" s="7" t="str" cm="1">
        <f t="array" ref="H116">_xlfn.IFS(F116=0,"Obsoleto",F116&lt;0,"Estoque Negativo",AND(F116&gt;=1,F116&lt;=20),"Crítico",AND(F116&gt;=21,F116&lt;=100),"OK",F116&gt;100,"Excesso")</f>
        <v>Excesso</v>
      </c>
    </row>
    <row r="117" spans="1:8" x14ac:dyDescent="0.35">
      <c r="A117" s="7" t="s">
        <v>66</v>
      </c>
      <c r="B117" s="7" t="s">
        <v>158</v>
      </c>
      <c r="C117" s="8">
        <v>914.49</v>
      </c>
      <c r="D117" s="7">
        <f>SUMIF(Entrada!B:B,A117,Entrada!D:D)</f>
        <v>550</v>
      </c>
      <c r="E117" s="7">
        <f>SUMIF(Saida!B:B,A117,Saida!D:D)</f>
        <v>391</v>
      </c>
      <c r="F117" s="7">
        <f t="shared" si="0"/>
        <v>159</v>
      </c>
      <c r="G117" s="8">
        <f>F117*(_xlfn.XLOOKUP(A117,Cadastro!A:A,Cadastro!E:E,,0))</f>
        <v>145403.91</v>
      </c>
      <c r="H117" s="7" t="str" cm="1">
        <f t="array" ref="H117">_xlfn.IFS(F117=0,"Obsoleto",F117&lt;0,"Estoque Negativo",AND(F117&gt;=1,F117&lt;=20),"Crítico",AND(F117&gt;=21,F117&lt;=100),"OK",F117&gt;100,"Excesso")</f>
        <v>Excesso</v>
      </c>
    </row>
    <row r="118" spans="1:8" x14ac:dyDescent="0.35">
      <c r="A118" s="7" t="s">
        <v>19</v>
      </c>
      <c r="B118" s="7" t="s">
        <v>155</v>
      </c>
      <c r="C118" s="8">
        <v>546.58000000000004</v>
      </c>
      <c r="D118" s="7">
        <f>SUMIF(Entrada!B:B,A118,Entrada!D:D)</f>
        <v>237</v>
      </c>
      <c r="E118" s="7">
        <f>SUMIF(Saida!B:B,A118,Saida!D:D)</f>
        <v>462</v>
      </c>
      <c r="F118" s="7">
        <f t="shared" si="0"/>
        <v>-225</v>
      </c>
      <c r="G118" s="8">
        <f>F118*(_xlfn.XLOOKUP(A118,Cadastro!A:A,Cadastro!E:E,,0))</f>
        <v>-122980.50000000001</v>
      </c>
      <c r="H118" s="7" t="str" cm="1">
        <f t="array" ref="H118">_xlfn.IFS(F118=0,"Obsoleto",F118&lt;0,"Estoque Negativo",AND(F118&gt;=1,F118&lt;=20),"Crítico",AND(F118&gt;=21,F118&lt;=100),"OK",F118&gt;100,"Excesso")</f>
        <v>Estoque Negativo</v>
      </c>
    </row>
    <row r="119" spans="1:8" x14ac:dyDescent="0.35">
      <c r="A119" s="7" t="s">
        <v>131</v>
      </c>
      <c r="B119" s="7" t="s">
        <v>150</v>
      </c>
      <c r="C119" s="8">
        <v>551.52</v>
      </c>
      <c r="D119" s="7">
        <f>SUMIF(Entrada!B:B,A119,Entrada!D:D)</f>
        <v>313</v>
      </c>
      <c r="E119" s="7">
        <f>SUMIF(Saida!B:B,A119,Saida!D:D)</f>
        <v>23</v>
      </c>
      <c r="F119" s="7">
        <f t="shared" si="0"/>
        <v>290</v>
      </c>
      <c r="G119" s="8">
        <f>F119*(_xlfn.XLOOKUP(A119,Cadastro!A:A,Cadastro!E:E,,0))</f>
        <v>159940.79999999999</v>
      </c>
      <c r="H119" s="7" t="str" cm="1">
        <f t="array" ref="H119">_xlfn.IFS(F119=0,"Obsoleto",F119&lt;0,"Estoque Negativo",AND(F119&gt;=1,F119&lt;=20),"Crítico",AND(F119&gt;=21,F119&lt;=100),"OK",F119&gt;100,"Excesso")</f>
        <v>Excesso</v>
      </c>
    </row>
    <row r="120" spans="1:8" x14ac:dyDescent="0.35">
      <c r="A120" s="7" t="s">
        <v>137</v>
      </c>
      <c r="B120" s="7" t="s">
        <v>148</v>
      </c>
      <c r="C120" s="8">
        <v>793.28</v>
      </c>
      <c r="D120" s="7">
        <f>SUMIF(Entrada!B:B,A120,Entrada!D:D)</f>
        <v>418</v>
      </c>
      <c r="E120" s="7">
        <f>SUMIF(Saida!B:B,A120,Saida!D:D)</f>
        <v>186</v>
      </c>
      <c r="F120" s="7">
        <f t="shared" si="0"/>
        <v>232</v>
      </c>
      <c r="G120" s="8">
        <f>F120*(_xlfn.XLOOKUP(A120,Cadastro!A:A,Cadastro!E:E,,0))</f>
        <v>184040.95999999999</v>
      </c>
      <c r="H120" s="7" t="str" cm="1">
        <f t="array" ref="H120">_xlfn.IFS(F120=0,"Obsoleto",F120&lt;0,"Estoque Negativo",AND(F120&gt;=1,F120&lt;=20),"Crítico",AND(F120&gt;=21,F120&lt;=100),"OK",F120&gt;100,"Excesso")</f>
        <v>Excesso</v>
      </c>
    </row>
    <row r="121" spans="1:8" x14ac:dyDescent="0.35">
      <c r="A121" s="7" t="s">
        <v>91</v>
      </c>
      <c r="B121" s="7" t="s">
        <v>160</v>
      </c>
      <c r="C121" s="8">
        <v>479.4</v>
      </c>
      <c r="D121" s="7">
        <f>SUMIF(Entrada!B:B,A121,Entrada!D:D)</f>
        <v>414</v>
      </c>
      <c r="E121" s="7">
        <f>SUMIF(Saida!B:B,A121,Saida!D:D)</f>
        <v>66</v>
      </c>
      <c r="F121" s="7">
        <f t="shared" si="0"/>
        <v>348</v>
      </c>
      <c r="G121" s="8">
        <f>F121*(_xlfn.XLOOKUP(A121,Cadastro!A:A,Cadastro!E:E,,0))</f>
        <v>166831.19999999998</v>
      </c>
      <c r="H121" s="7" t="str" cm="1">
        <f t="array" ref="H121">_xlfn.IFS(F121=0,"Obsoleto",F121&lt;0,"Estoque Negativo",AND(F121&gt;=1,F121&lt;=20),"Crítico",AND(F121&gt;=21,F121&lt;=100),"OK",F121&gt;100,"Excesso")</f>
        <v>Excesso</v>
      </c>
    </row>
    <row r="122" spans="1:8" x14ac:dyDescent="0.35">
      <c r="C122" s="9"/>
    </row>
    <row r="123" spans="1:8" x14ac:dyDescent="0.35">
      <c r="C123" s="9"/>
    </row>
    <row r="124" spans="1:8" x14ac:dyDescent="0.35">
      <c r="C124" s="9"/>
    </row>
    <row r="125" spans="1:8" x14ac:dyDescent="0.35">
      <c r="C125" s="9"/>
    </row>
    <row r="126" spans="1:8" x14ac:dyDescent="0.35">
      <c r="C126" s="9"/>
    </row>
    <row r="127" spans="1:8" x14ac:dyDescent="0.35">
      <c r="C127" s="9"/>
    </row>
    <row r="128" spans="1:8" x14ac:dyDescent="0.35">
      <c r="C128" s="9"/>
    </row>
    <row r="129" spans="3:3" x14ac:dyDescent="0.35">
      <c r="C129" s="9"/>
    </row>
    <row r="130" spans="3:3" x14ac:dyDescent="0.35">
      <c r="C130" s="9"/>
    </row>
    <row r="131" spans="3:3" x14ac:dyDescent="0.35">
      <c r="C131" s="9"/>
    </row>
    <row r="132" spans="3:3" x14ac:dyDescent="0.35">
      <c r="C132" s="9"/>
    </row>
    <row r="133" spans="3:3" x14ac:dyDescent="0.35">
      <c r="C133" s="9"/>
    </row>
    <row r="134" spans="3:3" x14ac:dyDescent="0.35">
      <c r="C134" s="9"/>
    </row>
    <row r="135" spans="3:3" x14ac:dyDescent="0.35">
      <c r="C135" s="9"/>
    </row>
    <row r="136" spans="3:3" x14ac:dyDescent="0.35">
      <c r="C136" s="9"/>
    </row>
    <row r="137" spans="3:3" x14ac:dyDescent="0.35">
      <c r="C137" s="9"/>
    </row>
    <row r="138" spans="3:3" x14ac:dyDescent="0.35">
      <c r="C138" s="9"/>
    </row>
    <row r="139" spans="3:3" x14ac:dyDescent="0.35">
      <c r="C139" s="9"/>
    </row>
    <row r="140" spans="3:3" x14ac:dyDescent="0.35">
      <c r="C140" s="9"/>
    </row>
    <row r="141" spans="3:3" x14ac:dyDescent="0.35">
      <c r="C141" s="9"/>
    </row>
    <row r="142" spans="3:3" x14ac:dyDescent="0.35">
      <c r="C142" s="9"/>
    </row>
    <row r="143" spans="3:3" x14ac:dyDescent="0.35">
      <c r="C143" s="9"/>
    </row>
    <row r="144" spans="3:3" x14ac:dyDescent="0.35">
      <c r="C144" s="9"/>
    </row>
    <row r="145" spans="3:3" x14ac:dyDescent="0.35">
      <c r="C145" s="9"/>
    </row>
    <row r="146" spans="3:3" x14ac:dyDescent="0.35">
      <c r="C146" s="9"/>
    </row>
    <row r="147" spans="3:3" x14ac:dyDescent="0.35">
      <c r="C147" s="9"/>
    </row>
    <row r="148" spans="3:3" x14ac:dyDescent="0.35">
      <c r="C148" s="9"/>
    </row>
    <row r="149" spans="3:3" x14ac:dyDescent="0.35">
      <c r="C149" s="9"/>
    </row>
    <row r="150" spans="3:3" x14ac:dyDescent="0.35">
      <c r="C150" s="9"/>
    </row>
    <row r="151" spans="3:3" x14ac:dyDescent="0.35">
      <c r="C151" s="9"/>
    </row>
    <row r="152" spans="3:3" x14ac:dyDescent="0.35">
      <c r="C152" s="9"/>
    </row>
    <row r="153" spans="3:3" x14ac:dyDescent="0.35">
      <c r="C153" s="9"/>
    </row>
    <row r="154" spans="3:3" x14ac:dyDescent="0.35">
      <c r="C154" s="9"/>
    </row>
    <row r="155" spans="3:3" x14ac:dyDescent="0.35">
      <c r="C155" s="9"/>
    </row>
    <row r="156" spans="3:3" x14ac:dyDescent="0.35">
      <c r="C156" s="9"/>
    </row>
    <row r="157" spans="3:3" x14ac:dyDescent="0.35">
      <c r="C157" s="9"/>
    </row>
    <row r="158" spans="3:3" x14ac:dyDescent="0.35">
      <c r="C158" s="9"/>
    </row>
    <row r="159" spans="3:3" x14ac:dyDescent="0.35">
      <c r="C159" s="9"/>
    </row>
    <row r="160" spans="3:3" x14ac:dyDescent="0.35">
      <c r="C160" s="9"/>
    </row>
    <row r="161" spans="3:3" x14ac:dyDescent="0.35">
      <c r="C161" s="9"/>
    </row>
    <row r="162" spans="3:3" x14ac:dyDescent="0.35">
      <c r="C162" s="9"/>
    </row>
    <row r="163" spans="3:3" x14ac:dyDescent="0.35">
      <c r="C163" s="9"/>
    </row>
    <row r="164" spans="3:3" x14ac:dyDescent="0.35">
      <c r="C164" s="9"/>
    </row>
    <row r="165" spans="3:3" x14ac:dyDescent="0.35">
      <c r="C165" s="9"/>
    </row>
    <row r="166" spans="3:3" x14ac:dyDescent="0.35">
      <c r="C166" s="9"/>
    </row>
    <row r="167" spans="3:3" x14ac:dyDescent="0.35">
      <c r="C167" s="9"/>
    </row>
    <row r="168" spans="3:3" x14ac:dyDescent="0.35">
      <c r="C168" s="9"/>
    </row>
    <row r="169" spans="3:3" x14ac:dyDescent="0.35">
      <c r="C169" s="9"/>
    </row>
    <row r="170" spans="3:3" x14ac:dyDescent="0.35">
      <c r="C170" s="9"/>
    </row>
    <row r="171" spans="3:3" x14ac:dyDescent="0.35">
      <c r="C171" s="9"/>
    </row>
    <row r="172" spans="3:3" x14ac:dyDescent="0.35">
      <c r="C172" s="9"/>
    </row>
    <row r="173" spans="3:3" x14ac:dyDescent="0.35">
      <c r="C173" s="9"/>
    </row>
    <row r="174" spans="3:3" x14ac:dyDescent="0.35">
      <c r="C174" s="9"/>
    </row>
    <row r="175" spans="3:3" x14ac:dyDescent="0.35">
      <c r="C175" s="9"/>
    </row>
    <row r="176" spans="3:3" x14ac:dyDescent="0.35">
      <c r="C176" s="9"/>
    </row>
    <row r="177" spans="3:3" x14ac:dyDescent="0.35">
      <c r="C177" s="9"/>
    </row>
    <row r="178" spans="3:3" x14ac:dyDescent="0.35">
      <c r="C178" s="9"/>
    </row>
    <row r="179" spans="3:3" x14ac:dyDescent="0.35">
      <c r="C179" s="9"/>
    </row>
    <row r="180" spans="3:3" x14ac:dyDescent="0.35">
      <c r="C180" s="9"/>
    </row>
    <row r="181" spans="3:3" x14ac:dyDescent="0.35">
      <c r="C181" s="9"/>
    </row>
    <row r="182" spans="3:3" x14ac:dyDescent="0.35">
      <c r="C182" s="9"/>
    </row>
    <row r="183" spans="3:3" x14ac:dyDescent="0.35">
      <c r="C183" s="9"/>
    </row>
    <row r="184" spans="3:3" x14ac:dyDescent="0.35">
      <c r="C184" s="9"/>
    </row>
    <row r="185" spans="3:3" x14ac:dyDescent="0.35">
      <c r="C185" s="9"/>
    </row>
    <row r="186" spans="3:3" x14ac:dyDescent="0.35">
      <c r="C186" s="9"/>
    </row>
    <row r="187" spans="3:3" x14ac:dyDescent="0.35">
      <c r="C187" s="9"/>
    </row>
    <row r="188" spans="3:3" x14ac:dyDescent="0.35">
      <c r="C188" s="9"/>
    </row>
    <row r="189" spans="3:3" x14ac:dyDescent="0.35">
      <c r="C189" s="9"/>
    </row>
    <row r="190" spans="3:3" x14ac:dyDescent="0.35">
      <c r="C190" s="9"/>
    </row>
    <row r="191" spans="3:3" x14ac:dyDescent="0.35">
      <c r="C191" s="9"/>
    </row>
    <row r="192" spans="3:3" x14ac:dyDescent="0.35">
      <c r="C192" s="9"/>
    </row>
    <row r="193" spans="3:3" x14ac:dyDescent="0.35">
      <c r="C193" s="9"/>
    </row>
    <row r="194" spans="3:3" x14ac:dyDescent="0.35">
      <c r="C194" s="9"/>
    </row>
    <row r="195" spans="3:3" x14ac:dyDescent="0.35">
      <c r="C195" s="9"/>
    </row>
    <row r="196" spans="3:3" x14ac:dyDescent="0.35">
      <c r="C196" s="9"/>
    </row>
    <row r="197" spans="3:3" x14ac:dyDescent="0.35">
      <c r="C197" s="9"/>
    </row>
    <row r="198" spans="3:3" x14ac:dyDescent="0.35">
      <c r="C198" s="9"/>
    </row>
    <row r="199" spans="3:3" x14ac:dyDescent="0.35">
      <c r="C199" s="9"/>
    </row>
    <row r="200" spans="3:3" x14ac:dyDescent="0.35">
      <c r="C200" s="9"/>
    </row>
    <row r="201" spans="3:3" x14ac:dyDescent="0.35">
      <c r="C201" s="9"/>
    </row>
    <row r="202" spans="3:3" x14ac:dyDescent="0.35">
      <c r="C202" s="9"/>
    </row>
    <row r="203" spans="3:3" x14ac:dyDescent="0.35">
      <c r="C203" s="9"/>
    </row>
    <row r="204" spans="3:3" x14ac:dyDescent="0.35">
      <c r="C204" s="9"/>
    </row>
    <row r="205" spans="3:3" x14ac:dyDescent="0.35">
      <c r="C205" s="9"/>
    </row>
    <row r="206" spans="3:3" x14ac:dyDescent="0.35">
      <c r="C206" s="9"/>
    </row>
    <row r="207" spans="3:3" x14ac:dyDescent="0.35">
      <c r="C207" s="9"/>
    </row>
    <row r="208" spans="3:3" x14ac:dyDescent="0.35">
      <c r="C208" s="9"/>
    </row>
    <row r="209" spans="3:3" x14ac:dyDescent="0.35">
      <c r="C209" s="9"/>
    </row>
    <row r="210" spans="3:3" x14ac:dyDescent="0.35">
      <c r="C210" s="9"/>
    </row>
    <row r="211" spans="3:3" x14ac:dyDescent="0.35">
      <c r="C211" s="9"/>
    </row>
    <row r="212" spans="3:3" x14ac:dyDescent="0.35">
      <c r="C212" s="9"/>
    </row>
    <row r="213" spans="3:3" x14ac:dyDescent="0.35">
      <c r="C213" s="9"/>
    </row>
    <row r="214" spans="3:3" x14ac:dyDescent="0.35">
      <c r="C214" s="9"/>
    </row>
    <row r="215" spans="3:3" x14ac:dyDescent="0.35">
      <c r="C215" s="9"/>
    </row>
    <row r="216" spans="3:3" x14ac:dyDescent="0.35">
      <c r="C216" s="9"/>
    </row>
    <row r="217" spans="3:3" x14ac:dyDescent="0.35">
      <c r="C217" s="9"/>
    </row>
    <row r="218" spans="3:3" x14ac:dyDescent="0.35">
      <c r="C218" s="9"/>
    </row>
    <row r="219" spans="3:3" x14ac:dyDescent="0.35">
      <c r="C219" s="9"/>
    </row>
    <row r="220" spans="3:3" x14ac:dyDescent="0.35">
      <c r="C220" s="9"/>
    </row>
    <row r="221" spans="3:3" x14ac:dyDescent="0.35">
      <c r="C221" s="9"/>
    </row>
    <row r="222" spans="3:3" x14ac:dyDescent="0.35">
      <c r="C222" s="9"/>
    </row>
    <row r="223" spans="3:3" x14ac:dyDescent="0.35">
      <c r="C223" s="9"/>
    </row>
    <row r="224" spans="3:3" x14ac:dyDescent="0.35">
      <c r="C224" s="9"/>
    </row>
    <row r="225" spans="3:3" x14ac:dyDescent="0.35">
      <c r="C225" s="9"/>
    </row>
    <row r="226" spans="3:3" x14ac:dyDescent="0.35">
      <c r="C226" s="9"/>
    </row>
    <row r="227" spans="3:3" x14ac:dyDescent="0.35">
      <c r="C227" s="9"/>
    </row>
    <row r="228" spans="3:3" x14ac:dyDescent="0.35">
      <c r="C228" s="9"/>
    </row>
    <row r="229" spans="3:3" x14ac:dyDescent="0.35">
      <c r="C229" s="9"/>
    </row>
    <row r="230" spans="3:3" x14ac:dyDescent="0.35">
      <c r="C230" s="9"/>
    </row>
    <row r="231" spans="3:3" x14ac:dyDescent="0.35">
      <c r="C231" s="9"/>
    </row>
    <row r="232" spans="3:3" x14ac:dyDescent="0.35">
      <c r="C232" s="9"/>
    </row>
    <row r="233" spans="3:3" x14ac:dyDescent="0.35">
      <c r="C233" s="9"/>
    </row>
    <row r="234" spans="3:3" x14ac:dyDescent="0.35">
      <c r="C234" s="9"/>
    </row>
    <row r="235" spans="3:3" x14ac:dyDescent="0.35">
      <c r="C235" s="9"/>
    </row>
    <row r="236" spans="3:3" x14ac:dyDescent="0.35">
      <c r="C236" s="9"/>
    </row>
    <row r="237" spans="3:3" x14ac:dyDescent="0.35">
      <c r="C237" s="9"/>
    </row>
    <row r="238" spans="3:3" x14ac:dyDescent="0.35">
      <c r="C238" s="9"/>
    </row>
    <row r="239" spans="3:3" x14ac:dyDescent="0.35">
      <c r="C239" s="9"/>
    </row>
    <row r="240" spans="3:3" x14ac:dyDescent="0.35">
      <c r="C240" s="9"/>
    </row>
    <row r="241" spans="3:3" x14ac:dyDescent="0.35">
      <c r="C241" s="9"/>
    </row>
    <row r="242" spans="3:3" x14ac:dyDescent="0.35">
      <c r="C242" s="9"/>
    </row>
    <row r="243" spans="3:3" x14ac:dyDescent="0.35">
      <c r="C243" s="9"/>
    </row>
    <row r="244" spans="3:3" x14ac:dyDescent="0.35">
      <c r="C244" s="9"/>
    </row>
    <row r="245" spans="3:3" x14ac:dyDescent="0.35">
      <c r="C245" s="9"/>
    </row>
    <row r="246" spans="3:3" x14ac:dyDescent="0.35">
      <c r="C246" s="9"/>
    </row>
    <row r="247" spans="3:3" x14ac:dyDescent="0.35">
      <c r="C247" s="9"/>
    </row>
    <row r="248" spans="3:3" x14ac:dyDescent="0.35">
      <c r="C248" s="9"/>
    </row>
    <row r="249" spans="3:3" x14ac:dyDescent="0.35">
      <c r="C249" s="9"/>
    </row>
    <row r="250" spans="3:3" x14ac:dyDescent="0.35">
      <c r="C250" s="9"/>
    </row>
    <row r="251" spans="3:3" x14ac:dyDescent="0.35">
      <c r="C251" s="9"/>
    </row>
    <row r="252" spans="3:3" x14ac:dyDescent="0.35">
      <c r="C252" s="9"/>
    </row>
    <row r="253" spans="3:3" x14ac:dyDescent="0.35">
      <c r="C253" s="9"/>
    </row>
    <row r="254" spans="3:3" x14ac:dyDescent="0.35">
      <c r="C254" s="9"/>
    </row>
    <row r="255" spans="3:3" x14ac:dyDescent="0.35">
      <c r="C255" s="9"/>
    </row>
    <row r="256" spans="3:3" x14ac:dyDescent="0.35">
      <c r="C256" s="9"/>
    </row>
    <row r="257" spans="3:3" x14ac:dyDescent="0.35">
      <c r="C257" s="9"/>
    </row>
    <row r="258" spans="3:3" x14ac:dyDescent="0.35">
      <c r="C258" s="9"/>
    </row>
    <row r="259" spans="3:3" x14ac:dyDescent="0.35">
      <c r="C259" s="9"/>
    </row>
    <row r="260" spans="3:3" x14ac:dyDescent="0.35">
      <c r="C260" s="9"/>
    </row>
    <row r="261" spans="3:3" x14ac:dyDescent="0.35">
      <c r="C261" s="9"/>
    </row>
    <row r="262" spans="3:3" x14ac:dyDescent="0.35">
      <c r="C262" s="9"/>
    </row>
    <row r="263" spans="3:3" x14ac:dyDescent="0.35">
      <c r="C263" s="9"/>
    </row>
    <row r="264" spans="3:3" x14ac:dyDescent="0.35">
      <c r="C264" s="9"/>
    </row>
    <row r="265" spans="3:3" x14ac:dyDescent="0.35">
      <c r="C265" s="9"/>
    </row>
    <row r="266" spans="3:3" x14ac:dyDescent="0.35">
      <c r="C266" s="9"/>
    </row>
    <row r="267" spans="3:3" x14ac:dyDescent="0.35">
      <c r="C267" s="9"/>
    </row>
    <row r="268" spans="3:3" x14ac:dyDescent="0.35">
      <c r="C268" s="9"/>
    </row>
    <row r="269" spans="3:3" x14ac:dyDescent="0.35">
      <c r="C269" s="9"/>
    </row>
    <row r="270" spans="3:3" x14ac:dyDescent="0.35">
      <c r="C270" s="9"/>
    </row>
    <row r="271" spans="3:3" x14ac:dyDescent="0.35">
      <c r="C271" s="9"/>
    </row>
    <row r="272" spans="3:3" x14ac:dyDescent="0.35">
      <c r="C272" s="9"/>
    </row>
    <row r="273" spans="3:3" x14ac:dyDescent="0.35">
      <c r="C273" s="9"/>
    </row>
    <row r="274" spans="3:3" x14ac:dyDescent="0.35">
      <c r="C274" s="9"/>
    </row>
    <row r="275" spans="3:3" x14ac:dyDescent="0.35">
      <c r="C275" s="9"/>
    </row>
    <row r="276" spans="3:3" x14ac:dyDescent="0.35">
      <c r="C276" s="9"/>
    </row>
    <row r="277" spans="3:3" x14ac:dyDescent="0.35">
      <c r="C277" s="9"/>
    </row>
    <row r="278" spans="3:3" x14ac:dyDescent="0.35">
      <c r="C278" s="9"/>
    </row>
    <row r="279" spans="3:3" x14ac:dyDescent="0.35">
      <c r="C279" s="9"/>
    </row>
    <row r="280" spans="3:3" x14ac:dyDescent="0.35">
      <c r="C280" s="9"/>
    </row>
    <row r="281" spans="3:3" x14ac:dyDescent="0.35">
      <c r="C281" s="9"/>
    </row>
    <row r="282" spans="3:3" x14ac:dyDescent="0.35">
      <c r="C282" s="9"/>
    </row>
    <row r="283" spans="3:3" x14ac:dyDescent="0.35">
      <c r="C283" s="9"/>
    </row>
    <row r="284" spans="3:3" x14ac:dyDescent="0.35">
      <c r="C284" s="9"/>
    </row>
    <row r="285" spans="3:3" x14ac:dyDescent="0.35">
      <c r="C285" s="9"/>
    </row>
    <row r="286" spans="3:3" x14ac:dyDescent="0.35">
      <c r="C286" s="9"/>
    </row>
    <row r="287" spans="3:3" x14ac:dyDescent="0.35">
      <c r="C287" s="9"/>
    </row>
    <row r="288" spans="3:3" x14ac:dyDescent="0.35">
      <c r="C288" s="9"/>
    </row>
    <row r="289" spans="3:3" x14ac:dyDescent="0.35">
      <c r="C289" s="9"/>
    </row>
    <row r="290" spans="3:3" x14ac:dyDescent="0.35">
      <c r="C290" s="9"/>
    </row>
    <row r="291" spans="3:3" x14ac:dyDescent="0.35">
      <c r="C291" s="9"/>
    </row>
    <row r="292" spans="3:3" x14ac:dyDescent="0.35">
      <c r="C292" s="9"/>
    </row>
    <row r="293" spans="3:3" x14ac:dyDescent="0.35">
      <c r="C293" s="9"/>
    </row>
    <row r="294" spans="3:3" x14ac:dyDescent="0.35">
      <c r="C294" s="9"/>
    </row>
    <row r="295" spans="3:3" x14ac:dyDescent="0.35">
      <c r="C295" s="9"/>
    </row>
    <row r="296" spans="3:3" x14ac:dyDescent="0.35">
      <c r="C296" s="9"/>
    </row>
    <row r="297" spans="3:3" x14ac:dyDescent="0.35">
      <c r="C297" s="9"/>
    </row>
    <row r="298" spans="3:3" x14ac:dyDescent="0.35">
      <c r="C298" s="9"/>
    </row>
    <row r="299" spans="3:3" x14ac:dyDescent="0.35">
      <c r="C299" s="9"/>
    </row>
    <row r="300" spans="3:3" x14ac:dyDescent="0.35">
      <c r="C300" s="9"/>
    </row>
    <row r="301" spans="3:3" x14ac:dyDescent="0.35">
      <c r="C301" s="9"/>
    </row>
    <row r="302" spans="3:3" x14ac:dyDescent="0.35">
      <c r="C302" s="9"/>
    </row>
    <row r="303" spans="3:3" x14ac:dyDescent="0.35">
      <c r="C303" s="9"/>
    </row>
    <row r="304" spans="3:3" x14ac:dyDescent="0.35">
      <c r="C304" s="9"/>
    </row>
    <row r="305" spans="3:3" x14ac:dyDescent="0.35">
      <c r="C305" s="9"/>
    </row>
    <row r="306" spans="3:3" x14ac:dyDescent="0.35">
      <c r="C306" s="9"/>
    </row>
    <row r="307" spans="3:3" x14ac:dyDescent="0.35">
      <c r="C307" s="9"/>
    </row>
    <row r="308" spans="3:3" x14ac:dyDescent="0.35">
      <c r="C308" s="9"/>
    </row>
    <row r="309" spans="3:3" x14ac:dyDescent="0.35">
      <c r="C309" s="9"/>
    </row>
    <row r="310" spans="3:3" x14ac:dyDescent="0.35">
      <c r="C310" s="9"/>
    </row>
    <row r="311" spans="3:3" x14ac:dyDescent="0.35">
      <c r="C311" s="9"/>
    </row>
    <row r="312" spans="3:3" x14ac:dyDescent="0.35">
      <c r="C312" s="9"/>
    </row>
    <row r="313" spans="3:3" x14ac:dyDescent="0.35">
      <c r="C313" s="9"/>
    </row>
    <row r="314" spans="3:3" x14ac:dyDescent="0.35">
      <c r="C314" s="9"/>
    </row>
    <row r="315" spans="3:3" x14ac:dyDescent="0.35">
      <c r="C315" s="9"/>
    </row>
    <row r="316" spans="3:3" x14ac:dyDescent="0.35">
      <c r="C316" s="9"/>
    </row>
    <row r="317" spans="3:3" x14ac:dyDescent="0.35">
      <c r="C317" s="9"/>
    </row>
    <row r="318" spans="3:3" x14ac:dyDescent="0.35">
      <c r="C318" s="9"/>
    </row>
    <row r="319" spans="3:3" x14ac:dyDescent="0.35">
      <c r="C319" s="9"/>
    </row>
    <row r="320" spans="3:3" x14ac:dyDescent="0.35">
      <c r="C320" s="9"/>
    </row>
    <row r="321" spans="3:3" x14ac:dyDescent="0.35">
      <c r="C321" s="9"/>
    </row>
    <row r="322" spans="3:3" x14ac:dyDescent="0.35">
      <c r="C322" s="9"/>
    </row>
    <row r="323" spans="3:3" x14ac:dyDescent="0.35">
      <c r="C323" s="9"/>
    </row>
    <row r="324" spans="3:3" x14ac:dyDescent="0.35">
      <c r="C324" s="9"/>
    </row>
    <row r="325" spans="3:3" x14ac:dyDescent="0.35">
      <c r="C325" s="9"/>
    </row>
    <row r="326" spans="3:3" x14ac:dyDescent="0.35">
      <c r="C326" s="9"/>
    </row>
    <row r="327" spans="3:3" x14ac:dyDescent="0.35">
      <c r="C327" s="9"/>
    </row>
    <row r="328" spans="3:3" x14ac:dyDescent="0.35">
      <c r="C328" s="9"/>
    </row>
    <row r="329" spans="3:3" x14ac:dyDescent="0.35">
      <c r="C329" s="9"/>
    </row>
    <row r="330" spans="3:3" x14ac:dyDescent="0.35">
      <c r="C330" s="9"/>
    </row>
    <row r="331" spans="3:3" x14ac:dyDescent="0.35">
      <c r="C331" s="9"/>
    </row>
    <row r="332" spans="3:3" x14ac:dyDescent="0.35">
      <c r="C332" s="9"/>
    </row>
    <row r="333" spans="3:3" x14ac:dyDescent="0.35">
      <c r="C333" s="9"/>
    </row>
    <row r="334" spans="3:3" x14ac:dyDescent="0.35">
      <c r="C334" s="9"/>
    </row>
    <row r="335" spans="3:3" x14ac:dyDescent="0.35">
      <c r="C335" s="9"/>
    </row>
    <row r="336" spans="3:3" x14ac:dyDescent="0.35">
      <c r="C336" s="9"/>
    </row>
    <row r="337" spans="3:3" x14ac:dyDescent="0.35">
      <c r="C337" s="9"/>
    </row>
    <row r="338" spans="3:3" x14ac:dyDescent="0.35">
      <c r="C338" s="9"/>
    </row>
    <row r="339" spans="3:3" x14ac:dyDescent="0.35">
      <c r="C339" s="9"/>
    </row>
    <row r="340" spans="3:3" x14ac:dyDescent="0.35">
      <c r="C340" s="9"/>
    </row>
    <row r="341" spans="3:3" x14ac:dyDescent="0.35">
      <c r="C341" s="9"/>
    </row>
    <row r="342" spans="3:3" x14ac:dyDescent="0.35">
      <c r="C342" s="9"/>
    </row>
    <row r="343" spans="3:3" x14ac:dyDescent="0.35">
      <c r="C343" s="9"/>
    </row>
    <row r="344" spans="3:3" x14ac:dyDescent="0.35">
      <c r="C344" s="9"/>
    </row>
    <row r="345" spans="3:3" x14ac:dyDescent="0.35">
      <c r="C345" s="9"/>
    </row>
    <row r="346" spans="3:3" x14ac:dyDescent="0.35">
      <c r="C346" s="9"/>
    </row>
    <row r="347" spans="3:3" x14ac:dyDescent="0.35">
      <c r="C347" s="9"/>
    </row>
    <row r="348" spans="3:3" x14ac:dyDescent="0.35">
      <c r="C348" s="9"/>
    </row>
    <row r="349" spans="3:3" x14ac:dyDescent="0.35">
      <c r="C349" s="9"/>
    </row>
    <row r="350" spans="3:3" x14ac:dyDescent="0.35">
      <c r="C350" s="9"/>
    </row>
    <row r="351" spans="3:3" x14ac:dyDescent="0.35">
      <c r="C351" s="9"/>
    </row>
    <row r="352" spans="3:3" x14ac:dyDescent="0.35">
      <c r="C352" s="9"/>
    </row>
    <row r="353" spans="3:3" x14ac:dyDescent="0.35">
      <c r="C353" s="9"/>
    </row>
    <row r="354" spans="3:3" x14ac:dyDescent="0.35">
      <c r="C354" s="9"/>
    </row>
    <row r="355" spans="3:3" x14ac:dyDescent="0.35">
      <c r="C355" s="9"/>
    </row>
    <row r="356" spans="3:3" x14ac:dyDescent="0.35">
      <c r="C356" s="9"/>
    </row>
    <row r="357" spans="3:3" x14ac:dyDescent="0.35">
      <c r="C357" s="9"/>
    </row>
    <row r="358" spans="3:3" x14ac:dyDescent="0.35">
      <c r="C358" s="9"/>
    </row>
    <row r="359" spans="3:3" x14ac:dyDescent="0.35">
      <c r="C359" s="9"/>
    </row>
    <row r="360" spans="3:3" x14ac:dyDescent="0.35">
      <c r="C360" s="9"/>
    </row>
    <row r="361" spans="3:3" x14ac:dyDescent="0.35">
      <c r="C361" s="9"/>
    </row>
    <row r="362" spans="3:3" x14ac:dyDescent="0.35">
      <c r="C362" s="9"/>
    </row>
    <row r="363" spans="3:3" x14ac:dyDescent="0.35">
      <c r="C363" s="9"/>
    </row>
    <row r="364" spans="3:3" x14ac:dyDescent="0.35">
      <c r="C364" s="9"/>
    </row>
    <row r="365" spans="3:3" x14ac:dyDescent="0.35">
      <c r="C365" s="9"/>
    </row>
    <row r="366" spans="3:3" x14ac:dyDescent="0.35">
      <c r="C366" s="9"/>
    </row>
    <row r="367" spans="3:3" x14ac:dyDescent="0.35">
      <c r="C367" s="9"/>
    </row>
    <row r="368" spans="3:3" x14ac:dyDescent="0.35">
      <c r="C368" s="9"/>
    </row>
    <row r="369" spans="3:3" x14ac:dyDescent="0.35">
      <c r="C369" s="9"/>
    </row>
    <row r="370" spans="3:3" x14ac:dyDescent="0.35">
      <c r="C370" s="9"/>
    </row>
    <row r="371" spans="3:3" x14ac:dyDescent="0.35">
      <c r="C371" s="9"/>
    </row>
    <row r="372" spans="3:3" x14ac:dyDescent="0.35">
      <c r="C372" s="9"/>
    </row>
    <row r="373" spans="3:3" x14ac:dyDescent="0.35">
      <c r="C373" s="9"/>
    </row>
    <row r="374" spans="3:3" x14ac:dyDescent="0.35">
      <c r="C374" s="9"/>
    </row>
    <row r="375" spans="3:3" x14ac:dyDescent="0.35">
      <c r="C375" s="9"/>
    </row>
    <row r="376" spans="3:3" x14ac:dyDescent="0.35">
      <c r="C376" s="9"/>
    </row>
    <row r="377" spans="3:3" x14ac:dyDescent="0.35">
      <c r="C377" s="9"/>
    </row>
    <row r="378" spans="3:3" x14ac:dyDescent="0.35">
      <c r="C378" s="9"/>
    </row>
    <row r="379" spans="3:3" x14ac:dyDescent="0.35">
      <c r="C379" s="9"/>
    </row>
    <row r="380" spans="3:3" x14ac:dyDescent="0.35">
      <c r="C380" s="9"/>
    </row>
    <row r="381" spans="3:3" x14ac:dyDescent="0.35">
      <c r="C381" s="9"/>
    </row>
    <row r="382" spans="3:3" x14ac:dyDescent="0.35">
      <c r="C382" s="9"/>
    </row>
    <row r="383" spans="3:3" x14ac:dyDescent="0.35">
      <c r="C383" s="9"/>
    </row>
    <row r="384" spans="3:3" x14ac:dyDescent="0.35">
      <c r="C384" s="9"/>
    </row>
    <row r="385" spans="3:3" x14ac:dyDescent="0.35">
      <c r="C385" s="9"/>
    </row>
    <row r="386" spans="3:3" x14ac:dyDescent="0.35">
      <c r="C386" s="9"/>
    </row>
    <row r="387" spans="3:3" x14ac:dyDescent="0.35">
      <c r="C387" s="9"/>
    </row>
    <row r="388" spans="3:3" x14ac:dyDescent="0.35">
      <c r="C388" s="9"/>
    </row>
    <row r="389" spans="3:3" x14ac:dyDescent="0.35">
      <c r="C389" s="9"/>
    </row>
    <row r="390" spans="3:3" x14ac:dyDescent="0.35">
      <c r="C390" s="9"/>
    </row>
    <row r="391" spans="3:3" x14ac:dyDescent="0.35">
      <c r="C391" s="9"/>
    </row>
    <row r="392" spans="3:3" x14ac:dyDescent="0.35">
      <c r="C392" s="9"/>
    </row>
    <row r="393" spans="3:3" x14ac:dyDescent="0.35">
      <c r="C393" s="9"/>
    </row>
    <row r="394" spans="3:3" x14ac:dyDescent="0.35">
      <c r="C394" s="9"/>
    </row>
    <row r="395" spans="3:3" x14ac:dyDescent="0.35">
      <c r="C395" s="9"/>
    </row>
    <row r="396" spans="3:3" x14ac:dyDescent="0.35">
      <c r="C396" s="9"/>
    </row>
    <row r="397" spans="3:3" x14ac:dyDescent="0.35">
      <c r="C397" s="9"/>
    </row>
    <row r="398" spans="3:3" x14ac:dyDescent="0.35">
      <c r="C398" s="9"/>
    </row>
    <row r="399" spans="3:3" x14ac:dyDescent="0.35">
      <c r="C399" s="9"/>
    </row>
    <row r="400" spans="3:3" x14ac:dyDescent="0.35">
      <c r="C400" s="9"/>
    </row>
    <row r="401" spans="3:3" x14ac:dyDescent="0.35">
      <c r="C401" s="9"/>
    </row>
    <row r="402" spans="3:3" x14ac:dyDescent="0.35">
      <c r="C402" s="9"/>
    </row>
    <row r="403" spans="3:3" x14ac:dyDescent="0.35">
      <c r="C403" s="9"/>
    </row>
    <row r="404" spans="3:3" x14ac:dyDescent="0.35">
      <c r="C404" s="9"/>
    </row>
    <row r="405" spans="3:3" x14ac:dyDescent="0.35">
      <c r="C405" s="9"/>
    </row>
    <row r="406" spans="3:3" x14ac:dyDescent="0.35">
      <c r="C406" s="9"/>
    </row>
    <row r="407" spans="3:3" x14ac:dyDescent="0.35">
      <c r="C407" s="9"/>
    </row>
    <row r="408" spans="3:3" x14ac:dyDescent="0.35">
      <c r="C408" s="9"/>
    </row>
    <row r="409" spans="3:3" x14ac:dyDescent="0.35">
      <c r="C409" s="9"/>
    </row>
    <row r="410" spans="3:3" x14ac:dyDescent="0.35">
      <c r="C410" s="9"/>
    </row>
    <row r="411" spans="3:3" x14ac:dyDescent="0.35">
      <c r="C411" s="9"/>
    </row>
    <row r="412" spans="3:3" x14ac:dyDescent="0.35">
      <c r="C412" s="9"/>
    </row>
    <row r="413" spans="3:3" x14ac:dyDescent="0.35">
      <c r="C413" s="9"/>
    </row>
    <row r="414" spans="3:3" x14ac:dyDescent="0.35">
      <c r="C414" s="9"/>
    </row>
    <row r="415" spans="3:3" x14ac:dyDescent="0.35">
      <c r="C415" s="9"/>
    </row>
    <row r="416" spans="3:3" x14ac:dyDescent="0.35">
      <c r="C416" s="9"/>
    </row>
    <row r="417" spans="3:3" x14ac:dyDescent="0.35">
      <c r="C417" s="9"/>
    </row>
    <row r="418" spans="3:3" x14ac:dyDescent="0.35">
      <c r="C418" s="9"/>
    </row>
    <row r="419" spans="3:3" x14ac:dyDescent="0.35">
      <c r="C419" s="9"/>
    </row>
    <row r="420" spans="3:3" x14ac:dyDescent="0.35">
      <c r="C420" s="9"/>
    </row>
    <row r="421" spans="3:3" x14ac:dyDescent="0.35">
      <c r="C421" s="9"/>
    </row>
    <row r="422" spans="3:3" x14ac:dyDescent="0.35">
      <c r="C422" s="9"/>
    </row>
    <row r="423" spans="3:3" x14ac:dyDescent="0.35">
      <c r="C423" s="9"/>
    </row>
    <row r="424" spans="3:3" x14ac:dyDescent="0.35">
      <c r="C424" s="9"/>
    </row>
    <row r="425" spans="3:3" x14ac:dyDescent="0.35">
      <c r="C425" s="9"/>
    </row>
    <row r="426" spans="3:3" x14ac:dyDescent="0.35">
      <c r="C426" s="9"/>
    </row>
    <row r="427" spans="3:3" x14ac:dyDescent="0.35">
      <c r="C427" s="9"/>
    </row>
    <row r="428" spans="3:3" x14ac:dyDescent="0.35">
      <c r="C428" s="9"/>
    </row>
    <row r="429" spans="3:3" x14ac:dyDescent="0.35">
      <c r="C429" s="9"/>
    </row>
    <row r="430" spans="3:3" x14ac:dyDescent="0.35">
      <c r="C430" s="9"/>
    </row>
    <row r="431" spans="3:3" x14ac:dyDescent="0.35">
      <c r="C431" s="9"/>
    </row>
    <row r="432" spans="3:3" x14ac:dyDescent="0.35">
      <c r="C432" s="9"/>
    </row>
    <row r="433" spans="3:3" x14ac:dyDescent="0.35">
      <c r="C433" s="9"/>
    </row>
    <row r="434" spans="3:3" x14ac:dyDescent="0.35">
      <c r="C434" s="9"/>
    </row>
    <row r="435" spans="3:3" x14ac:dyDescent="0.35">
      <c r="C435" s="9"/>
    </row>
    <row r="436" spans="3:3" x14ac:dyDescent="0.35">
      <c r="C436" s="9"/>
    </row>
    <row r="437" spans="3:3" x14ac:dyDescent="0.35">
      <c r="C437" s="9"/>
    </row>
    <row r="438" spans="3:3" x14ac:dyDescent="0.35">
      <c r="C438" s="9"/>
    </row>
    <row r="439" spans="3:3" x14ac:dyDescent="0.35">
      <c r="C439" s="9"/>
    </row>
    <row r="440" spans="3:3" x14ac:dyDescent="0.35">
      <c r="C440" s="9"/>
    </row>
    <row r="441" spans="3:3" x14ac:dyDescent="0.35">
      <c r="C441" s="9"/>
    </row>
    <row r="442" spans="3:3" x14ac:dyDescent="0.35">
      <c r="C442" s="9"/>
    </row>
    <row r="443" spans="3:3" x14ac:dyDescent="0.35">
      <c r="C443" s="9"/>
    </row>
    <row r="444" spans="3:3" x14ac:dyDescent="0.35">
      <c r="C444" s="9"/>
    </row>
    <row r="445" spans="3:3" x14ac:dyDescent="0.35">
      <c r="C445" s="9"/>
    </row>
    <row r="446" spans="3:3" x14ac:dyDescent="0.35">
      <c r="C446" s="9"/>
    </row>
    <row r="447" spans="3:3" x14ac:dyDescent="0.35">
      <c r="C447" s="9"/>
    </row>
    <row r="448" spans="3:3" x14ac:dyDescent="0.35">
      <c r="C448" s="9"/>
    </row>
    <row r="449" spans="3:3" x14ac:dyDescent="0.35">
      <c r="C449" s="9"/>
    </row>
    <row r="450" spans="3:3" x14ac:dyDescent="0.35">
      <c r="C450" s="9"/>
    </row>
    <row r="451" spans="3:3" x14ac:dyDescent="0.35">
      <c r="C451" s="9"/>
    </row>
    <row r="452" spans="3:3" x14ac:dyDescent="0.35">
      <c r="C452" s="9"/>
    </row>
    <row r="453" spans="3:3" x14ac:dyDescent="0.35">
      <c r="C453" s="9"/>
    </row>
    <row r="454" spans="3:3" x14ac:dyDescent="0.35">
      <c r="C454" s="9"/>
    </row>
    <row r="455" spans="3:3" x14ac:dyDescent="0.35">
      <c r="C455" s="9"/>
    </row>
    <row r="456" spans="3:3" x14ac:dyDescent="0.35">
      <c r="C456" s="9"/>
    </row>
    <row r="457" spans="3:3" x14ac:dyDescent="0.35">
      <c r="C457" s="9"/>
    </row>
    <row r="458" spans="3:3" x14ac:dyDescent="0.35">
      <c r="C458" s="9"/>
    </row>
    <row r="459" spans="3:3" x14ac:dyDescent="0.35">
      <c r="C459" s="9"/>
    </row>
    <row r="460" spans="3:3" x14ac:dyDescent="0.35">
      <c r="C460" s="9"/>
    </row>
    <row r="461" spans="3:3" x14ac:dyDescent="0.35">
      <c r="C461" s="9"/>
    </row>
    <row r="462" spans="3:3" x14ac:dyDescent="0.35">
      <c r="C462" s="9"/>
    </row>
    <row r="463" spans="3:3" x14ac:dyDescent="0.35">
      <c r="C463" s="9"/>
    </row>
    <row r="464" spans="3:3" x14ac:dyDescent="0.35">
      <c r="C464" s="9"/>
    </row>
    <row r="465" spans="3:3" x14ac:dyDescent="0.35">
      <c r="C465" s="9"/>
    </row>
    <row r="466" spans="3:3" x14ac:dyDescent="0.35">
      <c r="C466" s="9"/>
    </row>
    <row r="467" spans="3:3" x14ac:dyDescent="0.35">
      <c r="C467" s="9"/>
    </row>
    <row r="468" spans="3:3" x14ac:dyDescent="0.35">
      <c r="C468" s="9"/>
    </row>
    <row r="469" spans="3:3" x14ac:dyDescent="0.35">
      <c r="C469" s="9"/>
    </row>
    <row r="470" spans="3:3" x14ac:dyDescent="0.35">
      <c r="C470" s="9"/>
    </row>
    <row r="471" spans="3:3" x14ac:dyDescent="0.35">
      <c r="C471" s="9"/>
    </row>
    <row r="472" spans="3:3" x14ac:dyDescent="0.35">
      <c r="C472" s="9"/>
    </row>
    <row r="473" spans="3:3" x14ac:dyDescent="0.35">
      <c r="C473" s="9"/>
    </row>
    <row r="474" spans="3:3" x14ac:dyDescent="0.35">
      <c r="C474" s="9"/>
    </row>
    <row r="475" spans="3:3" x14ac:dyDescent="0.35">
      <c r="C475" s="9"/>
    </row>
    <row r="476" spans="3:3" x14ac:dyDescent="0.35">
      <c r="C476" s="9"/>
    </row>
    <row r="477" spans="3:3" x14ac:dyDescent="0.35">
      <c r="C477" s="9"/>
    </row>
    <row r="478" spans="3:3" x14ac:dyDescent="0.35">
      <c r="C478" s="9"/>
    </row>
    <row r="479" spans="3:3" x14ac:dyDescent="0.35">
      <c r="C479" s="9"/>
    </row>
    <row r="480" spans="3:3" x14ac:dyDescent="0.35">
      <c r="C480" s="9"/>
    </row>
    <row r="481" spans="3:3" x14ac:dyDescent="0.35">
      <c r="C481" s="9"/>
    </row>
    <row r="482" spans="3:3" x14ac:dyDescent="0.35">
      <c r="C482" s="9"/>
    </row>
    <row r="483" spans="3:3" x14ac:dyDescent="0.35">
      <c r="C483" s="9"/>
    </row>
    <row r="484" spans="3:3" x14ac:dyDescent="0.35">
      <c r="C484" s="9"/>
    </row>
    <row r="485" spans="3:3" x14ac:dyDescent="0.35">
      <c r="C485" s="9"/>
    </row>
    <row r="486" spans="3:3" x14ac:dyDescent="0.35">
      <c r="C486" s="9"/>
    </row>
    <row r="487" spans="3:3" x14ac:dyDescent="0.35">
      <c r="C487" s="9"/>
    </row>
    <row r="488" spans="3:3" x14ac:dyDescent="0.35">
      <c r="C488" s="9"/>
    </row>
    <row r="489" spans="3:3" x14ac:dyDescent="0.35">
      <c r="C489" s="9"/>
    </row>
    <row r="490" spans="3:3" x14ac:dyDescent="0.35">
      <c r="C490" s="9"/>
    </row>
    <row r="491" spans="3:3" x14ac:dyDescent="0.35">
      <c r="C491" s="9"/>
    </row>
    <row r="492" spans="3:3" x14ac:dyDescent="0.35">
      <c r="C492" s="9"/>
    </row>
    <row r="493" spans="3:3" x14ac:dyDescent="0.35">
      <c r="C493" s="9"/>
    </row>
    <row r="494" spans="3:3" x14ac:dyDescent="0.35">
      <c r="C494" s="9"/>
    </row>
    <row r="495" spans="3:3" x14ac:dyDescent="0.35">
      <c r="C495" s="9"/>
    </row>
    <row r="496" spans="3:3" x14ac:dyDescent="0.35">
      <c r="C496" s="9"/>
    </row>
    <row r="497" spans="3:3" x14ac:dyDescent="0.35">
      <c r="C497" s="9"/>
    </row>
    <row r="498" spans="3:3" x14ac:dyDescent="0.35">
      <c r="C498" s="9"/>
    </row>
    <row r="499" spans="3:3" x14ac:dyDescent="0.35">
      <c r="C499" s="9"/>
    </row>
    <row r="500" spans="3:3" x14ac:dyDescent="0.35">
      <c r="C500" s="9"/>
    </row>
    <row r="501" spans="3:3" x14ac:dyDescent="0.35">
      <c r="C501" s="9"/>
    </row>
    <row r="502" spans="3:3" x14ac:dyDescent="0.35">
      <c r="C502" s="9"/>
    </row>
    <row r="503" spans="3:3" x14ac:dyDescent="0.35">
      <c r="C503" s="9"/>
    </row>
    <row r="504" spans="3:3" x14ac:dyDescent="0.35">
      <c r="C504" s="9"/>
    </row>
    <row r="505" spans="3:3" x14ac:dyDescent="0.35">
      <c r="C505" s="9"/>
    </row>
    <row r="506" spans="3:3" x14ac:dyDescent="0.35">
      <c r="C506" s="9"/>
    </row>
    <row r="507" spans="3:3" x14ac:dyDescent="0.35">
      <c r="C507" s="9"/>
    </row>
    <row r="508" spans="3:3" x14ac:dyDescent="0.35">
      <c r="C508" s="9"/>
    </row>
    <row r="509" spans="3:3" x14ac:dyDescent="0.35">
      <c r="C509" s="9"/>
    </row>
    <row r="510" spans="3:3" x14ac:dyDescent="0.35">
      <c r="C510" s="9"/>
    </row>
    <row r="511" spans="3:3" x14ac:dyDescent="0.35">
      <c r="C511" s="9"/>
    </row>
    <row r="512" spans="3:3" x14ac:dyDescent="0.35">
      <c r="C512" s="9"/>
    </row>
    <row r="513" spans="3:3" x14ac:dyDescent="0.35">
      <c r="C513" s="9"/>
    </row>
    <row r="514" spans="3:3" x14ac:dyDescent="0.35">
      <c r="C514" s="9"/>
    </row>
    <row r="515" spans="3:3" x14ac:dyDescent="0.35">
      <c r="C515" s="9"/>
    </row>
    <row r="516" spans="3:3" x14ac:dyDescent="0.35">
      <c r="C516" s="9"/>
    </row>
    <row r="517" spans="3:3" x14ac:dyDescent="0.35">
      <c r="C517" s="9"/>
    </row>
    <row r="518" spans="3:3" x14ac:dyDescent="0.35">
      <c r="C518" s="9"/>
    </row>
    <row r="519" spans="3:3" x14ac:dyDescent="0.35">
      <c r="C519" s="9"/>
    </row>
    <row r="520" spans="3:3" x14ac:dyDescent="0.35">
      <c r="C520" s="9"/>
    </row>
    <row r="521" spans="3:3" x14ac:dyDescent="0.35">
      <c r="C521" s="9"/>
    </row>
    <row r="522" spans="3:3" x14ac:dyDescent="0.35">
      <c r="C522" s="9"/>
    </row>
    <row r="523" spans="3:3" x14ac:dyDescent="0.35">
      <c r="C523" s="9"/>
    </row>
    <row r="524" spans="3:3" x14ac:dyDescent="0.35">
      <c r="C524" s="9"/>
    </row>
    <row r="525" spans="3:3" x14ac:dyDescent="0.35">
      <c r="C525" s="9"/>
    </row>
    <row r="526" spans="3:3" x14ac:dyDescent="0.35">
      <c r="C526" s="9"/>
    </row>
    <row r="527" spans="3:3" x14ac:dyDescent="0.35">
      <c r="C527" s="9"/>
    </row>
    <row r="528" spans="3:3" x14ac:dyDescent="0.35">
      <c r="C528" s="9"/>
    </row>
    <row r="529" spans="3:3" x14ac:dyDescent="0.35">
      <c r="C529" s="9"/>
    </row>
    <row r="530" spans="3:3" x14ac:dyDescent="0.35">
      <c r="C530" s="9"/>
    </row>
    <row r="531" spans="3:3" x14ac:dyDescent="0.35">
      <c r="C531" s="9"/>
    </row>
    <row r="532" spans="3:3" x14ac:dyDescent="0.35">
      <c r="C532" s="9"/>
    </row>
    <row r="533" spans="3:3" x14ac:dyDescent="0.35">
      <c r="C533" s="9"/>
    </row>
    <row r="534" spans="3:3" x14ac:dyDescent="0.35">
      <c r="C534" s="9"/>
    </row>
    <row r="535" spans="3:3" x14ac:dyDescent="0.35">
      <c r="C535" s="9"/>
    </row>
    <row r="536" spans="3:3" x14ac:dyDescent="0.35">
      <c r="C536" s="9"/>
    </row>
    <row r="537" spans="3:3" x14ac:dyDescent="0.35">
      <c r="C537" s="9"/>
    </row>
    <row r="538" spans="3:3" x14ac:dyDescent="0.35">
      <c r="C538" s="9"/>
    </row>
    <row r="539" spans="3:3" x14ac:dyDescent="0.35">
      <c r="C539" s="9"/>
    </row>
    <row r="540" spans="3:3" x14ac:dyDescent="0.35">
      <c r="C540" s="9"/>
    </row>
    <row r="541" spans="3:3" x14ac:dyDescent="0.35">
      <c r="C541" s="9"/>
    </row>
    <row r="542" spans="3:3" x14ac:dyDescent="0.35">
      <c r="C542" s="9"/>
    </row>
    <row r="543" spans="3:3" x14ac:dyDescent="0.35">
      <c r="C543" s="9"/>
    </row>
    <row r="544" spans="3:3" x14ac:dyDescent="0.35">
      <c r="C544" s="9"/>
    </row>
    <row r="545" spans="3:3" x14ac:dyDescent="0.35">
      <c r="C545" s="9"/>
    </row>
    <row r="546" spans="3:3" x14ac:dyDescent="0.35">
      <c r="C546" s="9"/>
    </row>
    <row r="547" spans="3:3" x14ac:dyDescent="0.35">
      <c r="C547" s="9"/>
    </row>
    <row r="548" spans="3:3" x14ac:dyDescent="0.35">
      <c r="C548" s="9"/>
    </row>
    <row r="549" spans="3:3" x14ac:dyDescent="0.35">
      <c r="C549" s="9"/>
    </row>
    <row r="550" spans="3:3" x14ac:dyDescent="0.35">
      <c r="C550" s="9"/>
    </row>
    <row r="551" spans="3:3" x14ac:dyDescent="0.35">
      <c r="C551" s="9"/>
    </row>
    <row r="552" spans="3:3" x14ac:dyDescent="0.35">
      <c r="C552" s="9"/>
    </row>
    <row r="553" spans="3:3" x14ac:dyDescent="0.35">
      <c r="C553" s="9"/>
    </row>
    <row r="554" spans="3:3" x14ac:dyDescent="0.35">
      <c r="C554" s="9"/>
    </row>
    <row r="555" spans="3:3" x14ac:dyDescent="0.35">
      <c r="C555" s="9"/>
    </row>
    <row r="556" spans="3:3" x14ac:dyDescent="0.35">
      <c r="C556" s="9"/>
    </row>
    <row r="557" spans="3:3" x14ac:dyDescent="0.35">
      <c r="C557" s="9"/>
    </row>
    <row r="558" spans="3:3" x14ac:dyDescent="0.35">
      <c r="C558" s="9"/>
    </row>
    <row r="559" spans="3:3" x14ac:dyDescent="0.35">
      <c r="C559" s="9"/>
    </row>
    <row r="560" spans="3:3" x14ac:dyDescent="0.35">
      <c r="C560" s="9"/>
    </row>
    <row r="561" spans="3:3" x14ac:dyDescent="0.35">
      <c r="C561" s="9"/>
    </row>
    <row r="562" spans="3:3" x14ac:dyDescent="0.35">
      <c r="C562" s="9"/>
    </row>
    <row r="563" spans="3:3" x14ac:dyDescent="0.35">
      <c r="C563" s="9"/>
    </row>
    <row r="564" spans="3:3" x14ac:dyDescent="0.35">
      <c r="C564" s="9"/>
    </row>
    <row r="565" spans="3:3" x14ac:dyDescent="0.35">
      <c r="C565" s="9"/>
    </row>
    <row r="566" spans="3:3" x14ac:dyDescent="0.35">
      <c r="C566" s="9"/>
    </row>
    <row r="567" spans="3:3" x14ac:dyDescent="0.35">
      <c r="C567" s="9"/>
    </row>
    <row r="568" spans="3:3" x14ac:dyDescent="0.35">
      <c r="C568" s="9"/>
    </row>
    <row r="569" spans="3:3" x14ac:dyDescent="0.35">
      <c r="C569" s="9"/>
    </row>
    <row r="570" spans="3:3" x14ac:dyDescent="0.35">
      <c r="C570" s="9"/>
    </row>
    <row r="571" spans="3:3" x14ac:dyDescent="0.35">
      <c r="C571" s="9"/>
    </row>
    <row r="572" spans="3:3" x14ac:dyDescent="0.35">
      <c r="C572" s="9"/>
    </row>
    <row r="573" spans="3:3" x14ac:dyDescent="0.35">
      <c r="C573" s="9"/>
    </row>
    <row r="574" spans="3:3" x14ac:dyDescent="0.35">
      <c r="C574" s="9"/>
    </row>
    <row r="575" spans="3:3" x14ac:dyDescent="0.35">
      <c r="C575" s="9"/>
    </row>
    <row r="576" spans="3:3" x14ac:dyDescent="0.35">
      <c r="C576" s="9"/>
    </row>
    <row r="577" spans="3:3" x14ac:dyDescent="0.35">
      <c r="C577" s="9"/>
    </row>
    <row r="578" spans="3:3" x14ac:dyDescent="0.35">
      <c r="C578" s="9"/>
    </row>
    <row r="579" spans="3:3" x14ac:dyDescent="0.35">
      <c r="C579" s="9"/>
    </row>
    <row r="580" spans="3:3" x14ac:dyDescent="0.35">
      <c r="C580" s="9"/>
    </row>
    <row r="581" spans="3:3" x14ac:dyDescent="0.35">
      <c r="C581" s="9"/>
    </row>
    <row r="582" spans="3:3" x14ac:dyDescent="0.35">
      <c r="C582" s="9"/>
    </row>
    <row r="583" spans="3:3" x14ac:dyDescent="0.35">
      <c r="C583" s="9"/>
    </row>
    <row r="584" spans="3:3" x14ac:dyDescent="0.35">
      <c r="C584" s="9"/>
    </row>
    <row r="585" spans="3:3" x14ac:dyDescent="0.35">
      <c r="C585" s="9"/>
    </row>
    <row r="586" spans="3:3" x14ac:dyDescent="0.35">
      <c r="C586" s="9"/>
    </row>
    <row r="587" spans="3:3" x14ac:dyDescent="0.35">
      <c r="C587" s="9"/>
    </row>
    <row r="588" spans="3:3" x14ac:dyDescent="0.35">
      <c r="C588" s="9"/>
    </row>
    <row r="589" spans="3:3" x14ac:dyDescent="0.35">
      <c r="C589" s="9"/>
    </row>
    <row r="590" spans="3:3" x14ac:dyDescent="0.35">
      <c r="C590" s="9"/>
    </row>
    <row r="591" spans="3:3" x14ac:dyDescent="0.35">
      <c r="C591" s="9"/>
    </row>
    <row r="592" spans="3:3" x14ac:dyDescent="0.35">
      <c r="C592" s="9"/>
    </row>
    <row r="593" spans="3:3" x14ac:dyDescent="0.35">
      <c r="C593" s="9"/>
    </row>
    <row r="594" spans="3:3" x14ac:dyDescent="0.35">
      <c r="C594" s="9"/>
    </row>
    <row r="595" spans="3:3" x14ac:dyDescent="0.35">
      <c r="C595" s="9"/>
    </row>
    <row r="596" spans="3:3" x14ac:dyDescent="0.35">
      <c r="C596" s="9"/>
    </row>
    <row r="597" spans="3:3" x14ac:dyDescent="0.35">
      <c r="C597" s="9"/>
    </row>
    <row r="598" spans="3:3" x14ac:dyDescent="0.35">
      <c r="C598" s="9"/>
    </row>
    <row r="599" spans="3:3" x14ac:dyDescent="0.35">
      <c r="C599" s="9"/>
    </row>
    <row r="600" spans="3:3" x14ac:dyDescent="0.35">
      <c r="C600" s="9"/>
    </row>
    <row r="601" spans="3:3" x14ac:dyDescent="0.35">
      <c r="C601" s="9"/>
    </row>
    <row r="602" spans="3:3" x14ac:dyDescent="0.35">
      <c r="C602" s="9"/>
    </row>
    <row r="603" spans="3:3" x14ac:dyDescent="0.35">
      <c r="C603" s="9"/>
    </row>
    <row r="604" spans="3:3" x14ac:dyDescent="0.35">
      <c r="C604" s="9"/>
    </row>
    <row r="605" spans="3:3" x14ac:dyDescent="0.35">
      <c r="C605" s="9"/>
    </row>
    <row r="606" spans="3:3" x14ac:dyDescent="0.35">
      <c r="C606" s="9"/>
    </row>
    <row r="607" spans="3:3" x14ac:dyDescent="0.35">
      <c r="C607" s="9"/>
    </row>
    <row r="608" spans="3:3" x14ac:dyDescent="0.35">
      <c r="C608" s="9"/>
    </row>
    <row r="609" spans="3:3" x14ac:dyDescent="0.35">
      <c r="C609" s="9"/>
    </row>
    <row r="610" spans="3:3" x14ac:dyDescent="0.35">
      <c r="C610" s="9"/>
    </row>
    <row r="611" spans="3:3" x14ac:dyDescent="0.35">
      <c r="C611" s="9"/>
    </row>
    <row r="612" spans="3:3" x14ac:dyDescent="0.35">
      <c r="C612" s="9"/>
    </row>
    <row r="613" spans="3:3" x14ac:dyDescent="0.35">
      <c r="C613" s="9"/>
    </row>
    <row r="614" spans="3:3" x14ac:dyDescent="0.35">
      <c r="C614" s="9"/>
    </row>
    <row r="615" spans="3:3" x14ac:dyDescent="0.35">
      <c r="C615" s="9"/>
    </row>
    <row r="616" spans="3:3" x14ac:dyDescent="0.35">
      <c r="C616" s="9"/>
    </row>
    <row r="617" spans="3:3" x14ac:dyDescent="0.35">
      <c r="C617" s="9"/>
    </row>
    <row r="618" spans="3:3" x14ac:dyDescent="0.35">
      <c r="C618" s="9"/>
    </row>
    <row r="619" spans="3:3" x14ac:dyDescent="0.35">
      <c r="C619" s="9"/>
    </row>
    <row r="620" spans="3:3" x14ac:dyDescent="0.35">
      <c r="C620" s="9"/>
    </row>
    <row r="621" spans="3:3" x14ac:dyDescent="0.35">
      <c r="C621" s="9"/>
    </row>
    <row r="622" spans="3:3" x14ac:dyDescent="0.35">
      <c r="C622" s="9"/>
    </row>
    <row r="623" spans="3:3" x14ac:dyDescent="0.35">
      <c r="C623" s="9"/>
    </row>
    <row r="624" spans="3:3" x14ac:dyDescent="0.35">
      <c r="C624" s="9"/>
    </row>
    <row r="625" spans="3:3" x14ac:dyDescent="0.35">
      <c r="C625" s="9"/>
    </row>
    <row r="626" spans="3:3" x14ac:dyDescent="0.35">
      <c r="C626" s="9"/>
    </row>
    <row r="627" spans="3:3" x14ac:dyDescent="0.35">
      <c r="C627" s="9"/>
    </row>
    <row r="628" spans="3:3" x14ac:dyDescent="0.35">
      <c r="C628" s="9"/>
    </row>
    <row r="629" spans="3:3" x14ac:dyDescent="0.35">
      <c r="C629" s="9"/>
    </row>
    <row r="630" spans="3:3" x14ac:dyDescent="0.35">
      <c r="C630" s="9"/>
    </row>
    <row r="631" spans="3:3" x14ac:dyDescent="0.35">
      <c r="C631" s="9"/>
    </row>
    <row r="632" spans="3:3" x14ac:dyDescent="0.35">
      <c r="C632" s="9"/>
    </row>
    <row r="633" spans="3:3" x14ac:dyDescent="0.35">
      <c r="C633" s="9"/>
    </row>
    <row r="634" spans="3:3" x14ac:dyDescent="0.35">
      <c r="C634" s="9"/>
    </row>
    <row r="635" spans="3:3" x14ac:dyDescent="0.35">
      <c r="C635" s="9"/>
    </row>
    <row r="636" spans="3:3" x14ac:dyDescent="0.35">
      <c r="C636" s="9"/>
    </row>
    <row r="637" spans="3:3" x14ac:dyDescent="0.35">
      <c r="C637" s="9"/>
    </row>
    <row r="638" spans="3:3" x14ac:dyDescent="0.35">
      <c r="C638" s="9"/>
    </row>
    <row r="639" spans="3:3" x14ac:dyDescent="0.35">
      <c r="C639" s="9"/>
    </row>
    <row r="640" spans="3:3" x14ac:dyDescent="0.35">
      <c r="C640" s="9"/>
    </row>
    <row r="641" spans="3:3" x14ac:dyDescent="0.35">
      <c r="C641" s="9"/>
    </row>
    <row r="642" spans="3:3" x14ac:dyDescent="0.35">
      <c r="C642" s="9"/>
    </row>
    <row r="643" spans="3:3" x14ac:dyDescent="0.35">
      <c r="C643" s="9"/>
    </row>
    <row r="644" spans="3:3" x14ac:dyDescent="0.35">
      <c r="C644" s="9"/>
    </row>
    <row r="645" spans="3:3" x14ac:dyDescent="0.35">
      <c r="C645" s="9"/>
    </row>
    <row r="646" spans="3:3" x14ac:dyDescent="0.35">
      <c r="C646" s="9"/>
    </row>
    <row r="647" spans="3:3" x14ac:dyDescent="0.35">
      <c r="C647" s="9"/>
    </row>
    <row r="648" spans="3:3" x14ac:dyDescent="0.35">
      <c r="C648" s="9"/>
    </row>
    <row r="649" spans="3:3" x14ac:dyDescent="0.35">
      <c r="C649" s="9"/>
    </row>
    <row r="650" spans="3:3" x14ac:dyDescent="0.35">
      <c r="C650" s="9"/>
    </row>
    <row r="651" spans="3:3" x14ac:dyDescent="0.35">
      <c r="C651" s="9"/>
    </row>
    <row r="652" spans="3:3" x14ac:dyDescent="0.35">
      <c r="C652" s="9"/>
    </row>
    <row r="653" spans="3:3" x14ac:dyDescent="0.35">
      <c r="C653" s="9"/>
    </row>
    <row r="654" spans="3:3" x14ac:dyDescent="0.35">
      <c r="C654" s="9"/>
    </row>
    <row r="655" spans="3:3" x14ac:dyDescent="0.35">
      <c r="C655" s="9"/>
    </row>
    <row r="656" spans="3:3" x14ac:dyDescent="0.35">
      <c r="C656" s="9"/>
    </row>
    <row r="657" spans="3:3" x14ac:dyDescent="0.35">
      <c r="C657" s="9"/>
    </row>
    <row r="658" spans="3:3" x14ac:dyDescent="0.35">
      <c r="C658" s="9"/>
    </row>
    <row r="659" spans="3:3" x14ac:dyDescent="0.35">
      <c r="C659" s="9"/>
    </row>
    <row r="660" spans="3:3" x14ac:dyDescent="0.35">
      <c r="C660" s="9"/>
    </row>
    <row r="661" spans="3:3" x14ac:dyDescent="0.35">
      <c r="C661" s="9"/>
    </row>
    <row r="662" spans="3:3" x14ac:dyDescent="0.35">
      <c r="C662" s="9"/>
    </row>
    <row r="663" spans="3:3" x14ac:dyDescent="0.35">
      <c r="C663" s="9"/>
    </row>
    <row r="664" spans="3:3" x14ac:dyDescent="0.35">
      <c r="C664" s="9"/>
    </row>
    <row r="665" spans="3:3" x14ac:dyDescent="0.35">
      <c r="C665" s="9"/>
    </row>
    <row r="666" spans="3:3" x14ac:dyDescent="0.35">
      <c r="C666" s="9"/>
    </row>
    <row r="667" spans="3:3" x14ac:dyDescent="0.35">
      <c r="C667" s="9"/>
    </row>
    <row r="668" spans="3:3" x14ac:dyDescent="0.35">
      <c r="C668" s="9"/>
    </row>
    <row r="669" spans="3:3" x14ac:dyDescent="0.35">
      <c r="C669" s="9"/>
    </row>
    <row r="670" spans="3:3" x14ac:dyDescent="0.35">
      <c r="C670" s="9"/>
    </row>
    <row r="671" spans="3:3" x14ac:dyDescent="0.35">
      <c r="C671" s="9"/>
    </row>
    <row r="672" spans="3:3" x14ac:dyDescent="0.35">
      <c r="C672" s="9"/>
    </row>
    <row r="673" spans="3:3" x14ac:dyDescent="0.35">
      <c r="C673" s="9"/>
    </row>
    <row r="674" spans="3:3" x14ac:dyDescent="0.35">
      <c r="C674" s="9"/>
    </row>
    <row r="675" spans="3:3" x14ac:dyDescent="0.35">
      <c r="C675" s="9"/>
    </row>
    <row r="676" spans="3:3" x14ac:dyDescent="0.35">
      <c r="C676" s="9"/>
    </row>
    <row r="677" spans="3:3" x14ac:dyDescent="0.35">
      <c r="C677" s="9"/>
    </row>
    <row r="678" spans="3:3" x14ac:dyDescent="0.35">
      <c r="C678" s="9"/>
    </row>
    <row r="679" spans="3:3" x14ac:dyDescent="0.35">
      <c r="C679" s="9"/>
    </row>
    <row r="680" spans="3:3" x14ac:dyDescent="0.35">
      <c r="C680" s="9"/>
    </row>
    <row r="681" spans="3:3" x14ac:dyDescent="0.35">
      <c r="C681" s="9"/>
    </row>
    <row r="682" spans="3:3" x14ac:dyDescent="0.35">
      <c r="C682" s="9"/>
    </row>
    <row r="683" spans="3:3" x14ac:dyDescent="0.35">
      <c r="C683" s="9"/>
    </row>
    <row r="684" spans="3:3" x14ac:dyDescent="0.35">
      <c r="C684" s="9"/>
    </row>
    <row r="685" spans="3:3" x14ac:dyDescent="0.35">
      <c r="C685" s="9"/>
    </row>
    <row r="686" spans="3:3" x14ac:dyDescent="0.35">
      <c r="C686" s="9"/>
    </row>
    <row r="687" spans="3:3" x14ac:dyDescent="0.35">
      <c r="C687" s="9"/>
    </row>
    <row r="688" spans="3:3" x14ac:dyDescent="0.35">
      <c r="C688" s="9"/>
    </row>
    <row r="689" spans="3:3" x14ac:dyDescent="0.35">
      <c r="C689" s="9"/>
    </row>
    <row r="690" spans="3:3" x14ac:dyDescent="0.35">
      <c r="C690" s="9"/>
    </row>
    <row r="691" spans="3:3" x14ac:dyDescent="0.35">
      <c r="C691" s="9"/>
    </row>
    <row r="692" spans="3:3" x14ac:dyDescent="0.35">
      <c r="C692" s="9"/>
    </row>
    <row r="693" spans="3:3" x14ac:dyDescent="0.35">
      <c r="C693" s="9"/>
    </row>
    <row r="694" spans="3:3" x14ac:dyDescent="0.35">
      <c r="C694" s="9"/>
    </row>
    <row r="695" spans="3:3" x14ac:dyDescent="0.35">
      <c r="C695" s="9"/>
    </row>
    <row r="696" spans="3:3" x14ac:dyDescent="0.35">
      <c r="C696" s="9"/>
    </row>
    <row r="697" spans="3:3" x14ac:dyDescent="0.35">
      <c r="C697" s="9"/>
    </row>
    <row r="698" spans="3:3" x14ac:dyDescent="0.35">
      <c r="C698" s="9"/>
    </row>
    <row r="699" spans="3:3" x14ac:dyDescent="0.35">
      <c r="C699" s="9"/>
    </row>
    <row r="700" spans="3:3" x14ac:dyDescent="0.35">
      <c r="C700" s="9"/>
    </row>
    <row r="701" spans="3:3" x14ac:dyDescent="0.35">
      <c r="C701" s="9"/>
    </row>
    <row r="702" spans="3:3" x14ac:dyDescent="0.35">
      <c r="C702" s="9"/>
    </row>
    <row r="703" spans="3:3" x14ac:dyDescent="0.35">
      <c r="C703" s="9"/>
    </row>
    <row r="704" spans="3:3" x14ac:dyDescent="0.35">
      <c r="C704" s="9"/>
    </row>
    <row r="705" spans="3:3" x14ac:dyDescent="0.35">
      <c r="C705" s="9"/>
    </row>
    <row r="706" spans="3:3" x14ac:dyDescent="0.35">
      <c r="C706" s="9"/>
    </row>
    <row r="707" spans="3:3" x14ac:dyDescent="0.35">
      <c r="C707" s="9"/>
    </row>
    <row r="708" spans="3:3" x14ac:dyDescent="0.35">
      <c r="C708" s="9"/>
    </row>
    <row r="709" spans="3:3" x14ac:dyDescent="0.35">
      <c r="C709" s="9"/>
    </row>
    <row r="710" spans="3:3" x14ac:dyDescent="0.35">
      <c r="C710" s="9"/>
    </row>
    <row r="711" spans="3:3" x14ac:dyDescent="0.35">
      <c r="C711" s="9"/>
    </row>
    <row r="712" spans="3:3" x14ac:dyDescent="0.35">
      <c r="C712" s="9"/>
    </row>
    <row r="713" spans="3:3" x14ac:dyDescent="0.35">
      <c r="C713" s="9"/>
    </row>
    <row r="714" spans="3:3" x14ac:dyDescent="0.35">
      <c r="C714" s="9"/>
    </row>
    <row r="715" spans="3:3" x14ac:dyDescent="0.35">
      <c r="C715" s="9"/>
    </row>
    <row r="716" spans="3:3" x14ac:dyDescent="0.35">
      <c r="C716" s="9"/>
    </row>
    <row r="717" spans="3:3" x14ac:dyDescent="0.35">
      <c r="C717" s="9"/>
    </row>
    <row r="718" spans="3:3" x14ac:dyDescent="0.35">
      <c r="C718" s="9"/>
    </row>
    <row r="719" spans="3:3" x14ac:dyDescent="0.35">
      <c r="C719" s="9"/>
    </row>
    <row r="720" spans="3:3" x14ac:dyDescent="0.35">
      <c r="C720" s="9"/>
    </row>
    <row r="721" spans="3:3" x14ac:dyDescent="0.35">
      <c r="C721" s="9"/>
    </row>
    <row r="722" spans="3:3" x14ac:dyDescent="0.35">
      <c r="C722" s="9"/>
    </row>
    <row r="723" spans="3:3" x14ac:dyDescent="0.35">
      <c r="C723" s="9"/>
    </row>
    <row r="724" spans="3:3" x14ac:dyDescent="0.35">
      <c r="C724" s="9"/>
    </row>
    <row r="725" spans="3:3" x14ac:dyDescent="0.35">
      <c r="C725" s="9"/>
    </row>
    <row r="726" spans="3:3" x14ac:dyDescent="0.35">
      <c r="C726" s="9"/>
    </row>
    <row r="727" spans="3:3" x14ac:dyDescent="0.35">
      <c r="C727" s="9"/>
    </row>
    <row r="728" spans="3:3" x14ac:dyDescent="0.35">
      <c r="C728" s="9"/>
    </row>
    <row r="729" spans="3:3" x14ac:dyDescent="0.35">
      <c r="C729" s="9"/>
    </row>
    <row r="730" spans="3:3" x14ac:dyDescent="0.35">
      <c r="C730" s="9"/>
    </row>
    <row r="731" spans="3:3" x14ac:dyDescent="0.35">
      <c r="C731" s="9"/>
    </row>
    <row r="732" spans="3:3" x14ac:dyDescent="0.35">
      <c r="C732" s="9"/>
    </row>
    <row r="733" spans="3:3" x14ac:dyDescent="0.35">
      <c r="C733" s="9"/>
    </row>
    <row r="734" spans="3:3" x14ac:dyDescent="0.35">
      <c r="C734" s="9"/>
    </row>
    <row r="735" spans="3:3" x14ac:dyDescent="0.35">
      <c r="C735" s="9"/>
    </row>
    <row r="736" spans="3:3" x14ac:dyDescent="0.35">
      <c r="C736" s="9"/>
    </row>
    <row r="737" spans="3:3" x14ac:dyDescent="0.35">
      <c r="C737" s="9"/>
    </row>
    <row r="738" spans="3:3" x14ac:dyDescent="0.35">
      <c r="C738" s="9"/>
    </row>
    <row r="739" spans="3:3" x14ac:dyDescent="0.35">
      <c r="C739" s="9"/>
    </row>
    <row r="740" spans="3:3" x14ac:dyDescent="0.35">
      <c r="C740" s="9"/>
    </row>
    <row r="741" spans="3:3" x14ac:dyDescent="0.35">
      <c r="C741" s="9"/>
    </row>
    <row r="742" spans="3:3" x14ac:dyDescent="0.35">
      <c r="C742" s="9"/>
    </row>
    <row r="743" spans="3:3" x14ac:dyDescent="0.35">
      <c r="C743" s="9"/>
    </row>
    <row r="744" spans="3:3" x14ac:dyDescent="0.35">
      <c r="C744" s="9"/>
    </row>
    <row r="745" spans="3:3" x14ac:dyDescent="0.35">
      <c r="C745" s="9"/>
    </row>
    <row r="746" spans="3:3" x14ac:dyDescent="0.35">
      <c r="C746" s="9"/>
    </row>
    <row r="747" spans="3:3" x14ac:dyDescent="0.35">
      <c r="C747" s="9"/>
    </row>
    <row r="748" spans="3:3" x14ac:dyDescent="0.35">
      <c r="C748" s="9"/>
    </row>
    <row r="749" spans="3:3" x14ac:dyDescent="0.35">
      <c r="C749" s="9"/>
    </row>
    <row r="750" spans="3:3" x14ac:dyDescent="0.35">
      <c r="C750" s="9"/>
    </row>
    <row r="751" spans="3:3" x14ac:dyDescent="0.35">
      <c r="C751" s="9"/>
    </row>
    <row r="752" spans="3:3" x14ac:dyDescent="0.35">
      <c r="C752" s="9"/>
    </row>
    <row r="753" spans="3:3" x14ac:dyDescent="0.35">
      <c r="C753" s="9"/>
    </row>
    <row r="754" spans="3:3" x14ac:dyDescent="0.35">
      <c r="C754" s="9"/>
    </row>
    <row r="755" spans="3:3" x14ac:dyDescent="0.35">
      <c r="C755" s="9"/>
    </row>
    <row r="756" spans="3:3" x14ac:dyDescent="0.35">
      <c r="C756" s="9"/>
    </row>
    <row r="757" spans="3:3" x14ac:dyDescent="0.35">
      <c r="C757" s="9"/>
    </row>
    <row r="758" spans="3:3" x14ac:dyDescent="0.35">
      <c r="C758" s="9"/>
    </row>
    <row r="759" spans="3:3" x14ac:dyDescent="0.35">
      <c r="C759" s="9"/>
    </row>
    <row r="760" spans="3:3" x14ac:dyDescent="0.35">
      <c r="C760" s="9"/>
    </row>
    <row r="761" spans="3:3" x14ac:dyDescent="0.35">
      <c r="C761" s="9"/>
    </row>
    <row r="762" spans="3:3" x14ac:dyDescent="0.35">
      <c r="C762" s="9"/>
    </row>
    <row r="763" spans="3:3" x14ac:dyDescent="0.35">
      <c r="C763" s="9"/>
    </row>
    <row r="764" spans="3:3" x14ac:dyDescent="0.35">
      <c r="C764" s="9"/>
    </row>
    <row r="765" spans="3:3" x14ac:dyDescent="0.35">
      <c r="C765" s="9"/>
    </row>
    <row r="766" spans="3:3" x14ac:dyDescent="0.35">
      <c r="C766" s="9"/>
    </row>
    <row r="767" spans="3:3" x14ac:dyDescent="0.35">
      <c r="C767" s="9"/>
    </row>
    <row r="768" spans="3:3" x14ac:dyDescent="0.35">
      <c r="C768" s="9"/>
    </row>
    <row r="769" spans="3:3" x14ac:dyDescent="0.35">
      <c r="C769" s="9"/>
    </row>
    <row r="770" spans="3:3" x14ac:dyDescent="0.35">
      <c r="C770" s="9"/>
    </row>
    <row r="771" spans="3:3" x14ac:dyDescent="0.35">
      <c r="C771" s="9"/>
    </row>
    <row r="772" spans="3:3" x14ac:dyDescent="0.35">
      <c r="C772" s="9"/>
    </row>
    <row r="773" spans="3:3" x14ac:dyDescent="0.35">
      <c r="C773" s="9"/>
    </row>
    <row r="774" spans="3:3" x14ac:dyDescent="0.35">
      <c r="C774" s="9"/>
    </row>
    <row r="775" spans="3:3" x14ac:dyDescent="0.35">
      <c r="C775" s="9"/>
    </row>
    <row r="776" spans="3:3" x14ac:dyDescent="0.35">
      <c r="C776" s="9"/>
    </row>
    <row r="777" spans="3:3" x14ac:dyDescent="0.35">
      <c r="C777" s="9"/>
    </row>
    <row r="778" spans="3:3" x14ac:dyDescent="0.35">
      <c r="C778" s="9"/>
    </row>
    <row r="779" spans="3:3" x14ac:dyDescent="0.35">
      <c r="C779" s="9"/>
    </row>
    <row r="780" spans="3:3" x14ac:dyDescent="0.35">
      <c r="C780" s="9"/>
    </row>
    <row r="781" spans="3:3" x14ac:dyDescent="0.35">
      <c r="C781" s="9"/>
    </row>
    <row r="782" spans="3:3" x14ac:dyDescent="0.35">
      <c r="C782" s="9"/>
    </row>
    <row r="783" spans="3:3" x14ac:dyDescent="0.35">
      <c r="C783" s="9"/>
    </row>
    <row r="784" spans="3:3" x14ac:dyDescent="0.35">
      <c r="C784" s="9"/>
    </row>
    <row r="785" spans="3:3" x14ac:dyDescent="0.35">
      <c r="C785" s="9"/>
    </row>
    <row r="786" spans="3:3" x14ac:dyDescent="0.35">
      <c r="C786" s="9"/>
    </row>
    <row r="787" spans="3:3" x14ac:dyDescent="0.35">
      <c r="C787" s="9"/>
    </row>
    <row r="788" spans="3:3" x14ac:dyDescent="0.35">
      <c r="C788" s="9"/>
    </row>
    <row r="789" spans="3:3" x14ac:dyDescent="0.35">
      <c r="C789" s="9"/>
    </row>
    <row r="790" spans="3:3" x14ac:dyDescent="0.35">
      <c r="C790" s="9"/>
    </row>
    <row r="791" spans="3:3" x14ac:dyDescent="0.35">
      <c r="C791" s="9"/>
    </row>
    <row r="792" spans="3:3" x14ac:dyDescent="0.35">
      <c r="C792" s="9"/>
    </row>
    <row r="793" spans="3:3" x14ac:dyDescent="0.35">
      <c r="C793" s="9"/>
    </row>
    <row r="794" spans="3:3" x14ac:dyDescent="0.35">
      <c r="C794" s="9"/>
    </row>
    <row r="795" spans="3:3" x14ac:dyDescent="0.35">
      <c r="C795" s="9"/>
    </row>
    <row r="796" spans="3:3" x14ac:dyDescent="0.35">
      <c r="C796" s="9"/>
    </row>
    <row r="797" spans="3:3" x14ac:dyDescent="0.35">
      <c r="C797" s="9"/>
    </row>
    <row r="798" spans="3:3" x14ac:dyDescent="0.35">
      <c r="C798" s="9"/>
    </row>
    <row r="799" spans="3:3" x14ac:dyDescent="0.35">
      <c r="C799" s="9"/>
    </row>
    <row r="800" spans="3:3" x14ac:dyDescent="0.35">
      <c r="C800" s="9"/>
    </row>
    <row r="801" spans="3:3" x14ac:dyDescent="0.35">
      <c r="C801" s="9"/>
    </row>
    <row r="802" spans="3:3" x14ac:dyDescent="0.35">
      <c r="C802" s="9"/>
    </row>
    <row r="803" spans="3:3" x14ac:dyDescent="0.35">
      <c r="C803" s="9"/>
    </row>
    <row r="804" spans="3:3" x14ac:dyDescent="0.35">
      <c r="C804" s="9"/>
    </row>
    <row r="805" spans="3:3" x14ac:dyDescent="0.35">
      <c r="C805" s="9"/>
    </row>
    <row r="806" spans="3:3" x14ac:dyDescent="0.35">
      <c r="C806" s="9"/>
    </row>
    <row r="807" spans="3:3" x14ac:dyDescent="0.35">
      <c r="C807" s="9"/>
    </row>
    <row r="808" spans="3:3" x14ac:dyDescent="0.35">
      <c r="C808" s="9"/>
    </row>
    <row r="809" spans="3:3" x14ac:dyDescent="0.35">
      <c r="C809" s="9"/>
    </row>
    <row r="810" spans="3:3" x14ac:dyDescent="0.35">
      <c r="C810" s="9"/>
    </row>
    <row r="811" spans="3:3" x14ac:dyDescent="0.35">
      <c r="C811" s="9"/>
    </row>
    <row r="812" spans="3:3" x14ac:dyDescent="0.35">
      <c r="C812" s="9"/>
    </row>
    <row r="813" spans="3:3" x14ac:dyDescent="0.35">
      <c r="C813" s="9"/>
    </row>
    <row r="814" spans="3:3" x14ac:dyDescent="0.35">
      <c r="C814" s="9"/>
    </row>
    <row r="815" spans="3:3" x14ac:dyDescent="0.35">
      <c r="C815" s="9"/>
    </row>
    <row r="816" spans="3:3" x14ac:dyDescent="0.35">
      <c r="C816" s="9"/>
    </row>
    <row r="817" spans="3:3" x14ac:dyDescent="0.35">
      <c r="C817" s="9"/>
    </row>
    <row r="818" spans="3:3" x14ac:dyDescent="0.35">
      <c r="C818" s="9"/>
    </row>
    <row r="819" spans="3:3" x14ac:dyDescent="0.35">
      <c r="C819" s="9"/>
    </row>
    <row r="820" spans="3:3" x14ac:dyDescent="0.35">
      <c r="C820" s="9"/>
    </row>
    <row r="821" spans="3:3" x14ac:dyDescent="0.35">
      <c r="C821" s="9"/>
    </row>
    <row r="822" spans="3:3" x14ac:dyDescent="0.35">
      <c r="C822" s="9"/>
    </row>
    <row r="823" spans="3:3" x14ac:dyDescent="0.35">
      <c r="C823" s="9"/>
    </row>
    <row r="824" spans="3:3" x14ac:dyDescent="0.35">
      <c r="C824" s="9"/>
    </row>
    <row r="825" spans="3:3" x14ac:dyDescent="0.35">
      <c r="C825" s="9"/>
    </row>
    <row r="826" spans="3:3" x14ac:dyDescent="0.35">
      <c r="C826" s="9"/>
    </row>
    <row r="827" spans="3:3" x14ac:dyDescent="0.35">
      <c r="C827" s="9"/>
    </row>
    <row r="828" spans="3:3" x14ac:dyDescent="0.35">
      <c r="C828" s="9"/>
    </row>
    <row r="829" spans="3:3" x14ac:dyDescent="0.35">
      <c r="C829" s="9"/>
    </row>
    <row r="830" spans="3:3" x14ac:dyDescent="0.35">
      <c r="C830" s="9"/>
    </row>
    <row r="831" spans="3:3" x14ac:dyDescent="0.35">
      <c r="C831" s="9"/>
    </row>
    <row r="832" spans="3:3" x14ac:dyDescent="0.35">
      <c r="C832" s="9"/>
    </row>
    <row r="833" spans="3:3" x14ac:dyDescent="0.35">
      <c r="C833" s="9"/>
    </row>
    <row r="834" spans="3:3" x14ac:dyDescent="0.35">
      <c r="C834" s="9"/>
    </row>
    <row r="835" spans="3:3" x14ac:dyDescent="0.35">
      <c r="C835" s="9"/>
    </row>
    <row r="836" spans="3:3" x14ac:dyDescent="0.35">
      <c r="C836" s="9"/>
    </row>
    <row r="837" spans="3:3" x14ac:dyDescent="0.35">
      <c r="C837" s="9"/>
    </row>
    <row r="838" spans="3:3" x14ac:dyDescent="0.35">
      <c r="C838" s="9"/>
    </row>
    <row r="839" spans="3:3" x14ac:dyDescent="0.35">
      <c r="C839" s="9"/>
    </row>
    <row r="840" spans="3:3" x14ac:dyDescent="0.35">
      <c r="C840" s="9"/>
    </row>
    <row r="841" spans="3:3" x14ac:dyDescent="0.35">
      <c r="C841" s="9"/>
    </row>
    <row r="842" spans="3:3" x14ac:dyDescent="0.35">
      <c r="C842" s="9"/>
    </row>
    <row r="843" spans="3:3" x14ac:dyDescent="0.35">
      <c r="C843" s="9"/>
    </row>
    <row r="844" spans="3:3" x14ac:dyDescent="0.35">
      <c r="C844" s="9"/>
    </row>
    <row r="845" spans="3:3" x14ac:dyDescent="0.35">
      <c r="C845" s="9"/>
    </row>
    <row r="846" spans="3:3" x14ac:dyDescent="0.35">
      <c r="C846" s="9"/>
    </row>
    <row r="847" spans="3:3" x14ac:dyDescent="0.35">
      <c r="C847" s="9"/>
    </row>
    <row r="848" spans="3:3" x14ac:dyDescent="0.35">
      <c r="C848" s="9"/>
    </row>
    <row r="849" spans="3:3" x14ac:dyDescent="0.35">
      <c r="C849" s="9"/>
    </row>
    <row r="850" spans="3:3" x14ac:dyDescent="0.35">
      <c r="C850" s="9"/>
    </row>
    <row r="851" spans="3:3" x14ac:dyDescent="0.35">
      <c r="C851" s="9"/>
    </row>
    <row r="852" spans="3:3" x14ac:dyDescent="0.35">
      <c r="C852" s="9"/>
    </row>
    <row r="853" spans="3:3" x14ac:dyDescent="0.35">
      <c r="C853" s="9"/>
    </row>
    <row r="854" spans="3:3" x14ac:dyDescent="0.35">
      <c r="C854" s="9"/>
    </row>
    <row r="855" spans="3:3" x14ac:dyDescent="0.35">
      <c r="C855" s="9"/>
    </row>
    <row r="856" spans="3:3" x14ac:dyDescent="0.35">
      <c r="C856" s="9"/>
    </row>
    <row r="857" spans="3:3" x14ac:dyDescent="0.35">
      <c r="C857" s="9"/>
    </row>
    <row r="858" spans="3:3" x14ac:dyDescent="0.35">
      <c r="C858" s="9"/>
    </row>
    <row r="859" spans="3:3" x14ac:dyDescent="0.35">
      <c r="C859" s="9"/>
    </row>
    <row r="860" spans="3:3" x14ac:dyDescent="0.35">
      <c r="C860" s="9"/>
    </row>
    <row r="861" spans="3:3" x14ac:dyDescent="0.35">
      <c r="C861" s="9"/>
    </row>
    <row r="862" spans="3:3" x14ac:dyDescent="0.35">
      <c r="C862" s="9"/>
    </row>
    <row r="863" spans="3:3" x14ac:dyDescent="0.35">
      <c r="C863" s="9"/>
    </row>
    <row r="864" spans="3:3" x14ac:dyDescent="0.35">
      <c r="C864" s="9"/>
    </row>
    <row r="865" spans="3:3" x14ac:dyDescent="0.35">
      <c r="C865" s="9"/>
    </row>
    <row r="866" spans="3:3" x14ac:dyDescent="0.35">
      <c r="C866" s="9"/>
    </row>
    <row r="867" spans="3:3" x14ac:dyDescent="0.35">
      <c r="C867" s="9"/>
    </row>
    <row r="868" spans="3:3" x14ac:dyDescent="0.35">
      <c r="C868" s="9"/>
    </row>
    <row r="869" spans="3:3" x14ac:dyDescent="0.35">
      <c r="C869" s="9"/>
    </row>
    <row r="870" spans="3:3" x14ac:dyDescent="0.35">
      <c r="C870" s="9"/>
    </row>
    <row r="871" spans="3:3" x14ac:dyDescent="0.35">
      <c r="C871" s="9"/>
    </row>
    <row r="872" spans="3:3" x14ac:dyDescent="0.35">
      <c r="C872" s="9"/>
    </row>
    <row r="873" spans="3:3" x14ac:dyDescent="0.35">
      <c r="C873" s="9"/>
    </row>
    <row r="874" spans="3:3" x14ac:dyDescent="0.35">
      <c r="C874" s="9"/>
    </row>
    <row r="875" spans="3:3" x14ac:dyDescent="0.35">
      <c r="C875" s="9"/>
    </row>
    <row r="876" spans="3:3" x14ac:dyDescent="0.35">
      <c r="C876" s="9"/>
    </row>
    <row r="877" spans="3:3" x14ac:dyDescent="0.35">
      <c r="C877" s="9"/>
    </row>
    <row r="878" spans="3:3" x14ac:dyDescent="0.35">
      <c r="C878" s="9"/>
    </row>
    <row r="879" spans="3:3" x14ac:dyDescent="0.35">
      <c r="C879" s="9"/>
    </row>
    <row r="880" spans="3:3" x14ac:dyDescent="0.35">
      <c r="C880" s="9"/>
    </row>
    <row r="881" spans="3:3" x14ac:dyDescent="0.35">
      <c r="C881" s="9"/>
    </row>
    <row r="882" spans="3:3" x14ac:dyDescent="0.35">
      <c r="C882" s="9"/>
    </row>
    <row r="883" spans="3:3" x14ac:dyDescent="0.35">
      <c r="C883" s="9"/>
    </row>
    <row r="884" spans="3:3" x14ac:dyDescent="0.35">
      <c r="C884" s="9"/>
    </row>
    <row r="885" spans="3:3" x14ac:dyDescent="0.35">
      <c r="C885" s="9"/>
    </row>
    <row r="886" spans="3:3" x14ac:dyDescent="0.35">
      <c r="C886" s="9"/>
    </row>
    <row r="887" spans="3:3" x14ac:dyDescent="0.35">
      <c r="C887" s="9"/>
    </row>
    <row r="888" spans="3:3" x14ac:dyDescent="0.35">
      <c r="C888" s="9"/>
    </row>
    <row r="889" spans="3:3" x14ac:dyDescent="0.35">
      <c r="C889" s="9"/>
    </row>
    <row r="890" spans="3:3" x14ac:dyDescent="0.35">
      <c r="C890" s="9"/>
    </row>
    <row r="891" spans="3:3" x14ac:dyDescent="0.35">
      <c r="C891" s="9"/>
    </row>
    <row r="892" spans="3:3" x14ac:dyDescent="0.35">
      <c r="C892" s="9"/>
    </row>
    <row r="893" spans="3:3" x14ac:dyDescent="0.35">
      <c r="C893" s="9"/>
    </row>
    <row r="894" spans="3:3" x14ac:dyDescent="0.35">
      <c r="C894" s="9"/>
    </row>
    <row r="895" spans="3:3" x14ac:dyDescent="0.35">
      <c r="C895" s="9"/>
    </row>
    <row r="896" spans="3:3" x14ac:dyDescent="0.35">
      <c r="C896" s="9"/>
    </row>
    <row r="897" spans="3:3" x14ac:dyDescent="0.35">
      <c r="C897" s="9"/>
    </row>
    <row r="898" spans="3:3" x14ac:dyDescent="0.35">
      <c r="C898" s="9"/>
    </row>
    <row r="899" spans="3:3" x14ac:dyDescent="0.35">
      <c r="C899" s="9"/>
    </row>
    <row r="900" spans="3:3" x14ac:dyDescent="0.35">
      <c r="C900" s="9"/>
    </row>
    <row r="901" spans="3:3" x14ac:dyDescent="0.35">
      <c r="C901" s="9"/>
    </row>
    <row r="902" spans="3:3" x14ac:dyDescent="0.35">
      <c r="C902" s="9"/>
    </row>
    <row r="903" spans="3:3" x14ac:dyDescent="0.35">
      <c r="C903" s="9"/>
    </row>
    <row r="904" spans="3:3" x14ac:dyDescent="0.35">
      <c r="C904" s="9"/>
    </row>
    <row r="905" spans="3:3" x14ac:dyDescent="0.35">
      <c r="C905" s="9"/>
    </row>
    <row r="906" spans="3:3" x14ac:dyDescent="0.35">
      <c r="C906" s="9"/>
    </row>
    <row r="907" spans="3:3" x14ac:dyDescent="0.35">
      <c r="C907" s="9"/>
    </row>
    <row r="908" spans="3:3" x14ac:dyDescent="0.35">
      <c r="C908" s="9"/>
    </row>
    <row r="909" spans="3:3" x14ac:dyDescent="0.35">
      <c r="C909" s="9"/>
    </row>
    <row r="910" spans="3:3" x14ac:dyDescent="0.35">
      <c r="C910" s="9"/>
    </row>
    <row r="911" spans="3:3" x14ac:dyDescent="0.35">
      <c r="C911" s="9"/>
    </row>
    <row r="912" spans="3:3" x14ac:dyDescent="0.35">
      <c r="C912" s="9"/>
    </row>
    <row r="913" spans="3:3" x14ac:dyDescent="0.35">
      <c r="C913" s="9"/>
    </row>
    <row r="914" spans="3:3" x14ac:dyDescent="0.35">
      <c r="C914" s="9"/>
    </row>
    <row r="915" spans="3:3" x14ac:dyDescent="0.35">
      <c r="C915" s="9"/>
    </row>
    <row r="916" spans="3:3" x14ac:dyDescent="0.35">
      <c r="C916" s="9"/>
    </row>
    <row r="917" spans="3:3" x14ac:dyDescent="0.35">
      <c r="C917" s="9"/>
    </row>
    <row r="918" spans="3:3" x14ac:dyDescent="0.35">
      <c r="C918" s="9"/>
    </row>
    <row r="919" spans="3:3" x14ac:dyDescent="0.35">
      <c r="C919" s="9"/>
    </row>
    <row r="920" spans="3:3" x14ac:dyDescent="0.35">
      <c r="C920" s="9"/>
    </row>
    <row r="921" spans="3:3" x14ac:dyDescent="0.35">
      <c r="C921" s="9"/>
    </row>
    <row r="922" spans="3:3" x14ac:dyDescent="0.35">
      <c r="C922" s="9"/>
    </row>
    <row r="923" spans="3:3" x14ac:dyDescent="0.35">
      <c r="C923" s="9"/>
    </row>
    <row r="924" spans="3:3" x14ac:dyDescent="0.35">
      <c r="C924" s="9"/>
    </row>
    <row r="925" spans="3:3" x14ac:dyDescent="0.35">
      <c r="C925" s="9"/>
    </row>
    <row r="926" spans="3:3" x14ac:dyDescent="0.35">
      <c r="C926" s="9"/>
    </row>
    <row r="927" spans="3:3" x14ac:dyDescent="0.35">
      <c r="C927" s="9"/>
    </row>
    <row r="928" spans="3:3" x14ac:dyDescent="0.35">
      <c r="C928" s="9"/>
    </row>
    <row r="929" spans="3:3" x14ac:dyDescent="0.35">
      <c r="C929" s="9"/>
    </row>
    <row r="930" spans="3:3" x14ac:dyDescent="0.35">
      <c r="C930" s="9"/>
    </row>
    <row r="931" spans="3:3" x14ac:dyDescent="0.35">
      <c r="C931" s="9"/>
    </row>
    <row r="932" spans="3:3" x14ac:dyDescent="0.35">
      <c r="C932" s="9"/>
    </row>
    <row r="933" spans="3:3" x14ac:dyDescent="0.35">
      <c r="C933" s="9"/>
    </row>
    <row r="934" spans="3:3" x14ac:dyDescent="0.35">
      <c r="C934" s="9"/>
    </row>
    <row r="935" spans="3:3" x14ac:dyDescent="0.35">
      <c r="C935" s="9"/>
    </row>
    <row r="936" spans="3:3" x14ac:dyDescent="0.35">
      <c r="C936" s="9"/>
    </row>
    <row r="937" spans="3:3" x14ac:dyDescent="0.35">
      <c r="C937" s="9"/>
    </row>
    <row r="938" spans="3:3" x14ac:dyDescent="0.35">
      <c r="C938" s="9"/>
    </row>
    <row r="939" spans="3:3" x14ac:dyDescent="0.35">
      <c r="C939" s="9"/>
    </row>
    <row r="940" spans="3:3" x14ac:dyDescent="0.35">
      <c r="C940" s="9"/>
    </row>
    <row r="941" spans="3:3" x14ac:dyDescent="0.35">
      <c r="C941" s="9"/>
    </row>
    <row r="942" spans="3:3" x14ac:dyDescent="0.35">
      <c r="C942" s="9"/>
    </row>
    <row r="943" spans="3:3" x14ac:dyDescent="0.35">
      <c r="C943" s="9"/>
    </row>
    <row r="944" spans="3:3" x14ac:dyDescent="0.35">
      <c r="C944" s="9"/>
    </row>
    <row r="945" spans="3:3" x14ac:dyDescent="0.35">
      <c r="C945" s="9"/>
    </row>
    <row r="946" spans="3:3" x14ac:dyDescent="0.35">
      <c r="C946" s="9"/>
    </row>
    <row r="947" spans="3:3" x14ac:dyDescent="0.35">
      <c r="C947" s="9"/>
    </row>
    <row r="948" spans="3:3" x14ac:dyDescent="0.35">
      <c r="C948" s="9"/>
    </row>
    <row r="949" spans="3:3" x14ac:dyDescent="0.35">
      <c r="C949" s="9"/>
    </row>
    <row r="950" spans="3:3" x14ac:dyDescent="0.35">
      <c r="C950" s="9"/>
    </row>
    <row r="951" spans="3:3" x14ac:dyDescent="0.35">
      <c r="C951" s="9"/>
    </row>
    <row r="952" spans="3:3" x14ac:dyDescent="0.35">
      <c r="C952" s="9"/>
    </row>
    <row r="953" spans="3:3" x14ac:dyDescent="0.35">
      <c r="C953" s="9"/>
    </row>
    <row r="954" spans="3:3" x14ac:dyDescent="0.35">
      <c r="C954" s="9"/>
    </row>
    <row r="955" spans="3:3" x14ac:dyDescent="0.35">
      <c r="C955" s="9"/>
    </row>
    <row r="956" spans="3:3" x14ac:dyDescent="0.35">
      <c r="C956" s="9"/>
    </row>
    <row r="957" spans="3:3" x14ac:dyDescent="0.35">
      <c r="C957" s="9"/>
    </row>
    <row r="958" spans="3:3" x14ac:dyDescent="0.35">
      <c r="C958" s="9"/>
    </row>
    <row r="959" spans="3:3" x14ac:dyDescent="0.35">
      <c r="C959" s="9"/>
    </row>
    <row r="960" spans="3:3" x14ac:dyDescent="0.35">
      <c r="C960" s="9"/>
    </row>
    <row r="961" spans="3:3" x14ac:dyDescent="0.35">
      <c r="C961" s="9"/>
    </row>
    <row r="962" spans="3:3" x14ac:dyDescent="0.35">
      <c r="C962" s="9"/>
    </row>
    <row r="963" spans="3:3" x14ac:dyDescent="0.35">
      <c r="C963" s="9"/>
    </row>
    <row r="964" spans="3:3" x14ac:dyDescent="0.35">
      <c r="C964" s="9"/>
    </row>
    <row r="965" spans="3:3" x14ac:dyDescent="0.35">
      <c r="C965" s="9"/>
    </row>
    <row r="966" spans="3:3" x14ac:dyDescent="0.35">
      <c r="C966" s="9"/>
    </row>
    <row r="967" spans="3:3" x14ac:dyDescent="0.35">
      <c r="C967" s="9"/>
    </row>
    <row r="968" spans="3:3" x14ac:dyDescent="0.35">
      <c r="C968" s="9"/>
    </row>
    <row r="969" spans="3:3" x14ac:dyDescent="0.35">
      <c r="C969" s="9"/>
    </row>
    <row r="970" spans="3:3" x14ac:dyDescent="0.35">
      <c r="C970" s="9"/>
    </row>
    <row r="971" spans="3:3" x14ac:dyDescent="0.35">
      <c r="C971" s="9"/>
    </row>
    <row r="972" spans="3:3" x14ac:dyDescent="0.35">
      <c r="C972" s="9"/>
    </row>
    <row r="973" spans="3:3" x14ac:dyDescent="0.35">
      <c r="C973" s="9"/>
    </row>
    <row r="974" spans="3:3" x14ac:dyDescent="0.35">
      <c r="C974" s="9"/>
    </row>
    <row r="975" spans="3:3" x14ac:dyDescent="0.35">
      <c r="C975" s="9"/>
    </row>
    <row r="976" spans="3:3" x14ac:dyDescent="0.35">
      <c r="C976" s="9"/>
    </row>
    <row r="977" spans="3:3" x14ac:dyDescent="0.35">
      <c r="C977" s="9"/>
    </row>
    <row r="978" spans="3:3" x14ac:dyDescent="0.35">
      <c r="C978" s="9"/>
    </row>
    <row r="979" spans="3:3" x14ac:dyDescent="0.35">
      <c r="C979" s="9"/>
    </row>
    <row r="980" spans="3:3" x14ac:dyDescent="0.35">
      <c r="C980" s="9"/>
    </row>
    <row r="981" spans="3:3" x14ac:dyDescent="0.35">
      <c r="C981" s="9"/>
    </row>
    <row r="982" spans="3:3" x14ac:dyDescent="0.35">
      <c r="C982" s="9"/>
    </row>
    <row r="983" spans="3:3" x14ac:dyDescent="0.35">
      <c r="C983" s="9"/>
    </row>
    <row r="984" spans="3:3" x14ac:dyDescent="0.35">
      <c r="C984" s="9"/>
    </row>
    <row r="985" spans="3:3" x14ac:dyDescent="0.35">
      <c r="C985" s="9"/>
    </row>
    <row r="986" spans="3:3" x14ac:dyDescent="0.35">
      <c r="C986" s="9"/>
    </row>
    <row r="987" spans="3:3" x14ac:dyDescent="0.35">
      <c r="C987" s="9"/>
    </row>
    <row r="988" spans="3:3" x14ac:dyDescent="0.35">
      <c r="C988" s="9"/>
    </row>
    <row r="989" spans="3:3" x14ac:dyDescent="0.35">
      <c r="C989" s="9"/>
    </row>
    <row r="990" spans="3:3" x14ac:dyDescent="0.35">
      <c r="C990" s="9"/>
    </row>
    <row r="991" spans="3:3" x14ac:dyDescent="0.35">
      <c r="C991" s="9"/>
    </row>
    <row r="992" spans="3:3" x14ac:dyDescent="0.35">
      <c r="C992" s="9"/>
    </row>
    <row r="993" spans="3:3" x14ac:dyDescent="0.35">
      <c r="C993" s="9"/>
    </row>
    <row r="994" spans="3:3" x14ac:dyDescent="0.35">
      <c r="C994" s="9"/>
    </row>
    <row r="995" spans="3:3" x14ac:dyDescent="0.35">
      <c r="C995" s="9"/>
    </row>
    <row r="996" spans="3:3" x14ac:dyDescent="0.35">
      <c r="C996" s="9"/>
    </row>
    <row r="997" spans="3:3" x14ac:dyDescent="0.35">
      <c r="C997" s="9"/>
    </row>
    <row r="998" spans="3:3" x14ac:dyDescent="0.35">
      <c r="C998" s="9"/>
    </row>
    <row r="999" spans="3:3" x14ac:dyDescent="0.35">
      <c r="C999" s="9"/>
    </row>
    <row r="1000" spans="3:3" x14ac:dyDescent="0.35">
      <c r="C1000" s="9"/>
    </row>
  </sheetData>
  <conditionalFormatting sqref="A2:H121">
    <cfRule type="expression" dxfId="8" priority="1">
      <formula>IF($F2&lt;0,1,0)</formula>
    </cfRule>
    <cfRule type="expression" dxfId="7" priority="2">
      <formula>IF($F2=0,1,0)</formula>
    </cfRule>
    <cfRule type="expression" dxfId="6" priority="3">
      <formula>IF($F2&gt;0,1,0)</formula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Cadastro!$D$2:$D$121</xm:f>
          </x14:formula1>
          <xm:sqref>B2:B121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165F8-9D45-41E6-A3FC-47CC1B769947}">
  <dimension ref="A3:U11"/>
  <sheetViews>
    <sheetView workbookViewId="0">
      <selection activeCell="F22" sqref="F22"/>
    </sheetView>
  </sheetViews>
  <sheetFormatPr defaultRowHeight="14.5" x14ac:dyDescent="0.35"/>
  <cols>
    <col min="1" max="1" width="14.81640625" bestFit="1" customWidth="1"/>
    <col min="2" max="2" width="15.26953125" bestFit="1" customWidth="1"/>
    <col min="3" max="3" width="13.90625" bestFit="1" customWidth="1"/>
    <col min="4" max="4" width="6.7265625" bestFit="1" customWidth="1"/>
    <col min="5" max="5" width="21.26953125" bestFit="1" customWidth="1"/>
    <col min="6" max="6" width="11.453125" bestFit="1" customWidth="1"/>
    <col min="7" max="7" width="12.453125" bestFit="1" customWidth="1"/>
    <col min="8" max="8" width="10.453125" bestFit="1" customWidth="1"/>
    <col min="9" max="11" width="11.453125" bestFit="1" customWidth="1"/>
    <col min="12" max="13" width="12.08984375" bestFit="1" customWidth="1"/>
    <col min="14" max="14" width="17" hidden="1" customWidth="1"/>
    <col min="15" max="15" width="23.54296875" hidden="1" customWidth="1"/>
    <col min="16" max="16" width="12.453125" bestFit="1" customWidth="1"/>
    <col min="17" max="17" width="17" hidden="1" customWidth="1"/>
    <col min="18" max="18" width="21.26953125" hidden="1" customWidth="1"/>
    <col min="19" max="19" width="12.08984375" bestFit="1" customWidth="1"/>
    <col min="20" max="20" width="17" hidden="1" customWidth="1"/>
    <col min="21" max="21" width="13.90625" hidden="1" customWidth="1"/>
    <col min="22" max="25" width="12.08984375" bestFit="1" customWidth="1"/>
    <col min="26" max="27" width="11.453125" bestFit="1" customWidth="1"/>
    <col min="28" max="28" width="12.453125" bestFit="1" customWidth="1"/>
    <col min="29" max="30" width="11.453125" bestFit="1" customWidth="1"/>
    <col min="31" max="31" width="12.08984375" bestFit="1" customWidth="1"/>
    <col min="32" max="35" width="11.453125" bestFit="1" customWidth="1"/>
    <col min="36" max="37" width="12.453125" bestFit="1" customWidth="1"/>
    <col min="38" max="38" width="11.453125" bestFit="1" customWidth="1"/>
    <col min="39" max="39" width="12.453125" bestFit="1" customWidth="1"/>
    <col min="40" max="41" width="10.453125" bestFit="1" customWidth="1"/>
    <col min="42" max="42" width="11.453125" bestFit="1" customWidth="1"/>
    <col min="43" max="43" width="12.453125" bestFit="1" customWidth="1"/>
    <col min="44" max="44" width="11.453125" bestFit="1" customWidth="1"/>
    <col min="45" max="45" width="12.453125" bestFit="1" customWidth="1"/>
    <col min="46" max="46" width="12.08984375" bestFit="1" customWidth="1"/>
    <col min="47" max="47" width="12.453125" bestFit="1" customWidth="1"/>
    <col min="48" max="50" width="11.453125" bestFit="1" customWidth="1"/>
    <col min="51" max="51" width="12.08984375" bestFit="1" customWidth="1"/>
    <col min="52" max="52" width="11.453125" bestFit="1" customWidth="1"/>
    <col min="53" max="54" width="12.453125" bestFit="1" customWidth="1"/>
    <col min="55" max="55" width="13.1796875" bestFit="1" customWidth="1"/>
    <col min="56" max="56" width="11.453125" bestFit="1" customWidth="1"/>
    <col min="57" max="61" width="12.453125" bestFit="1" customWidth="1"/>
    <col min="62" max="62" width="11.453125" bestFit="1" customWidth="1"/>
    <col min="63" max="63" width="12.453125" bestFit="1" customWidth="1"/>
    <col min="64" max="64" width="10.453125" bestFit="1" customWidth="1"/>
    <col min="65" max="65" width="12.453125" bestFit="1" customWidth="1"/>
    <col min="66" max="66" width="11.453125" bestFit="1" customWidth="1"/>
    <col min="67" max="71" width="12.453125" bestFit="1" customWidth="1"/>
    <col min="72" max="72" width="11.453125" bestFit="1" customWidth="1"/>
    <col min="73" max="73" width="12.08984375" bestFit="1" customWidth="1"/>
    <col min="74" max="74" width="11.453125" bestFit="1" customWidth="1"/>
    <col min="75" max="75" width="12.453125" bestFit="1" customWidth="1"/>
    <col min="76" max="76" width="12.08984375" bestFit="1" customWidth="1"/>
    <col min="77" max="77" width="11.08984375" bestFit="1" customWidth="1"/>
    <col min="78" max="78" width="11.453125" bestFit="1" customWidth="1"/>
    <col min="79" max="79" width="12.453125" bestFit="1" customWidth="1"/>
    <col min="80" max="80" width="11.453125" bestFit="1" customWidth="1"/>
    <col min="81" max="82" width="12.08984375" bestFit="1" customWidth="1"/>
    <col min="83" max="86" width="12.453125" bestFit="1" customWidth="1"/>
    <col min="87" max="88" width="11.453125" bestFit="1" customWidth="1"/>
    <col min="89" max="89" width="12.08984375" bestFit="1" customWidth="1"/>
    <col min="90" max="90" width="11.453125" bestFit="1" customWidth="1"/>
    <col min="91" max="91" width="12.453125" bestFit="1" customWidth="1"/>
    <col min="92" max="94" width="11.453125" bestFit="1" customWidth="1"/>
    <col min="95" max="95" width="12.453125" bestFit="1" customWidth="1"/>
    <col min="96" max="97" width="11.453125" bestFit="1" customWidth="1"/>
    <col min="98" max="101" width="12.453125" bestFit="1" customWidth="1"/>
    <col min="102" max="102" width="13.1796875" bestFit="1" customWidth="1"/>
    <col min="103" max="105" width="11.453125" bestFit="1" customWidth="1"/>
    <col min="106" max="106" width="12.453125" bestFit="1" customWidth="1"/>
    <col min="107" max="107" width="11.453125" bestFit="1" customWidth="1"/>
    <col min="108" max="110" width="12.453125" bestFit="1" customWidth="1"/>
    <col min="111" max="111" width="11.453125" bestFit="1" customWidth="1"/>
    <col min="112" max="112" width="12.453125" bestFit="1" customWidth="1"/>
    <col min="113" max="114" width="11.453125" bestFit="1" customWidth="1"/>
    <col min="115" max="115" width="10.453125" bestFit="1" customWidth="1"/>
    <col min="116" max="117" width="12.453125" bestFit="1" customWidth="1"/>
    <col min="118" max="118" width="11.453125" bestFit="1" customWidth="1"/>
    <col min="119" max="119" width="12.08984375" bestFit="1" customWidth="1"/>
    <col min="120" max="121" width="11.453125" bestFit="1" customWidth="1"/>
    <col min="122" max="122" width="15.08984375" bestFit="1" customWidth="1"/>
  </cols>
  <sheetData>
    <row r="3" spans="1:21" x14ac:dyDescent="0.35">
      <c r="A3" s="14" t="s">
        <v>145</v>
      </c>
      <c r="B3" s="15" t="s">
        <v>185</v>
      </c>
      <c r="C3" t="s">
        <v>182</v>
      </c>
      <c r="D3" s="15" t="s">
        <v>184</v>
      </c>
      <c r="E3" t="s">
        <v>183</v>
      </c>
      <c r="N3" s="10" t="s">
        <v>181</v>
      </c>
      <c r="O3" t="s">
        <v>180</v>
      </c>
      <c r="Q3" s="10" t="s">
        <v>181</v>
      </c>
      <c r="R3" t="s">
        <v>183</v>
      </c>
      <c r="T3" s="10" t="s">
        <v>181</v>
      </c>
      <c r="U3" t="s">
        <v>182</v>
      </c>
    </row>
    <row r="4" spans="1:21" x14ac:dyDescent="0.35">
      <c r="A4" s="12" t="s">
        <v>155</v>
      </c>
      <c r="B4" s="11">
        <v>1161583.0600000003</v>
      </c>
      <c r="C4" s="11">
        <v>561.26199999999994</v>
      </c>
      <c r="D4" s="13">
        <v>20</v>
      </c>
      <c r="E4" s="13">
        <v>3674</v>
      </c>
      <c r="N4" s="12" t="s">
        <v>155</v>
      </c>
      <c r="O4" s="11">
        <v>1161583.0600000003</v>
      </c>
      <c r="Q4" s="12" t="s">
        <v>155</v>
      </c>
      <c r="R4" s="13">
        <v>3674</v>
      </c>
      <c r="T4" s="12" t="s">
        <v>155</v>
      </c>
      <c r="U4" s="11">
        <v>561.26199999999994</v>
      </c>
    </row>
    <row r="5" spans="1:21" x14ac:dyDescent="0.35">
      <c r="A5" s="12" t="s">
        <v>166</v>
      </c>
      <c r="B5" s="11">
        <v>1369241.6600000001</v>
      </c>
      <c r="C5" s="11">
        <v>457.1184210526315</v>
      </c>
      <c r="D5" s="13">
        <v>19</v>
      </c>
      <c r="E5" s="13">
        <v>3098</v>
      </c>
      <c r="N5" s="12" t="s">
        <v>166</v>
      </c>
      <c r="O5" s="11">
        <v>1369241.6600000001</v>
      </c>
      <c r="Q5" s="12" t="s">
        <v>166</v>
      </c>
      <c r="R5" s="13">
        <v>3098</v>
      </c>
      <c r="T5" s="12" t="s">
        <v>166</v>
      </c>
      <c r="U5" s="11">
        <v>457.1184210526315</v>
      </c>
    </row>
    <row r="6" spans="1:21" x14ac:dyDescent="0.35">
      <c r="A6" s="12" t="s">
        <v>148</v>
      </c>
      <c r="B6" s="11">
        <v>967524.96999999986</v>
      </c>
      <c r="C6" s="11">
        <v>476.05</v>
      </c>
      <c r="D6" s="13">
        <v>14</v>
      </c>
      <c r="E6" s="13">
        <v>2239</v>
      </c>
      <c r="N6" s="12" t="s">
        <v>148</v>
      </c>
      <c r="O6" s="11">
        <v>967524.96999999986</v>
      </c>
      <c r="Q6" s="12" t="s">
        <v>148</v>
      </c>
      <c r="R6" s="13">
        <v>2239</v>
      </c>
      <c r="T6" s="12" t="s">
        <v>148</v>
      </c>
      <c r="U6" s="11">
        <v>476.05</v>
      </c>
    </row>
    <row r="7" spans="1:21" x14ac:dyDescent="0.35">
      <c r="A7" s="12" t="s">
        <v>160</v>
      </c>
      <c r="B7" s="11">
        <v>1779317.9400000002</v>
      </c>
      <c r="C7" s="11">
        <v>573.39</v>
      </c>
      <c r="D7" s="13">
        <v>16</v>
      </c>
      <c r="E7" s="13">
        <v>2182</v>
      </c>
      <c r="N7" s="12" t="s">
        <v>160</v>
      </c>
      <c r="O7" s="11">
        <v>1779317.9400000002</v>
      </c>
      <c r="Q7" s="12" t="s">
        <v>160</v>
      </c>
      <c r="R7" s="13">
        <v>2182</v>
      </c>
      <c r="T7" s="12" t="s">
        <v>160</v>
      </c>
      <c r="U7" s="11">
        <v>573.39</v>
      </c>
    </row>
    <row r="8" spans="1:21" x14ac:dyDescent="0.35">
      <c r="A8" s="12" t="s">
        <v>158</v>
      </c>
      <c r="B8" s="11">
        <v>1772670.1</v>
      </c>
      <c r="C8" s="11">
        <v>519.15117647058821</v>
      </c>
      <c r="D8" s="13">
        <v>17</v>
      </c>
      <c r="E8" s="13">
        <v>2691</v>
      </c>
      <c r="N8" s="12" t="s">
        <v>158</v>
      </c>
      <c r="O8" s="11">
        <v>1772670.1</v>
      </c>
      <c r="Q8" s="12" t="s">
        <v>158</v>
      </c>
      <c r="R8" s="13">
        <v>2691</v>
      </c>
      <c r="T8" s="12" t="s">
        <v>158</v>
      </c>
      <c r="U8" s="11">
        <v>519.15117647058821</v>
      </c>
    </row>
    <row r="9" spans="1:21" x14ac:dyDescent="0.35">
      <c r="A9" s="12" t="s">
        <v>152</v>
      </c>
      <c r="B9" s="11">
        <v>978667.67</v>
      </c>
      <c r="C9" s="11">
        <v>563.89</v>
      </c>
      <c r="D9" s="13">
        <v>16</v>
      </c>
      <c r="E9" s="13">
        <v>2847</v>
      </c>
      <c r="N9" s="12" t="s">
        <v>152</v>
      </c>
      <c r="O9" s="11">
        <v>978667.67</v>
      </c>
      <c r="Q9" s="12" t="s">
        <v>152</v>
      </c>
      <c r="R9" s="13">
        <v>2847</v>
      </c>
      <c r="T9" s="12" t="s">
        <v>152</v>
      </c>
      <c r="U9" s="11">
        <v>563.89</v>
      </c>
    </row>
    <row r="10" spans="1:21" x14ac:dyDescent="0.35">
      <c r="A10" s="12" t="s">
        <v>150</v>
      </c>
      <c r="B10" s="11">
        <v>2073020.7599999998</v>
      </c>
      <c r="C10" s="11">
        <v>586.82500000000005</v>
      </c>
      <c r="D10" s="13">
        <v>18</v>
      </c>
      <c r="E10" s="13">
        <v>3147</v>
      </c>
      <c r="N10" s="12" t="s">
        <v>150</v>
      </c>
      <c r="O10" s="11">
        <v>2073020.7599999998</v>
      </c>
      <c r="Q10" s="12" t="s">
        <v>150</v>
      </c>
      <c r="R10" s="13">
        <v>3147</v>
      </c>
      <c r="T10" s="12" t="s">
        <v>150</v>
      </c>
      <c r="U10" s="11">
        <v>586.82500000000005</v>
      </c>
    </row>
    <row r="11" spans="1:21" x14ac:dyDescent="0.35">
      <c r="A11" s="12" t="s">
        <v>179</v>
      </c>
      <c r="B11" s="11">
        <v>10102026.160000004</v>
      </c>
      <c r="C11" s="11">
        <v>534.66741666666667</v>
      </c>
      <c r="D11" s="13">
        <v>120</v>
      </c>
      <c r="E11" s="13">
        <v>19878</v>
      </c>
      <c r="N11" s="12" t="s">
        <v>179</v>
      </c>
      <c r="O11" s="11">
        <v>10102026.16</v>
      </c>
      <c r="Q11" s="12" t="s">
        <v>179</v>
      </c>
      <c r="R11" s="13">
        <v>19878</v>
      </c>
      <c r="T11" s="12" t="s">
        <v>179</v>
      </c>
      <c r="U11" s="11">
        <v>534.66741666666667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EEFDC-4CEA-4AEC-ADBF-2C02720E077D}">
  <dimension ref="A1:BZ4"/>
  <sheetViews>
    <sheetView showGridLines="0" tabSelected="1" workbookViewId="0">
      <selection activeCell="BY11" sqref="BY11"/>
    </sheetView>
  </sheetViews>
  <sheetFormatPr defaultColWidth="1.81640625" defaultRowHeight="10.5" customHeight="1" x14ac:dyDescent="0.35"/>
  <cols>
    <col min="1" max="16384" width="1.81640625" style="16"/>
  </cols>
  <sheetData>
    <row r="1" spans="1:78" ht="10.5" customHeight="1" x14ac:dyDescent="0.35">
      <c r="A1" s="17" t="s">
        <v>186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</row>
    <row r="2" spans="1:78" ht="10.5" customHeight="1" x14ac:dyDescent="0.3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</row>
    <row r="3" spans="1:78" ht="10.5" customHeight="1" x14ac:dyDescent="0.3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</row>
    <row r="4" spans="1:78" ht="10.5" customHeight="1" x14ac:dyDescent="0.3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</row>
  </sheetData>
  <mergeCells count="1">
    <mergeCell ref="A1:BZ4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Entrada</vt:lpstr>
      <vt:lpstr>Saida</vt:lpstr>
      <vt:lpstr>Cadastro</vt:lpstr>
      <vt:lpstr>Resumo Estoque</vt:lpstr>
      <vt:lpstr>Dinâmica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 Valenga</cp:lastModifiedBy>
  <dcterms:modified xsi:type="dcterms:W3CDTF">2025-05-24T14:04:14Z</dcterms:modified>
</cp:coreProperties>
</file>